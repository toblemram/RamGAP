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RFA\OneDrive - Ramboll\Fagnettverk\4 - Geoteknikk\b - Beregningsverktøy\Regneark\Tørrmur\"/>
    </mc:Choice>
  </mc:AlternateContent>
  <xr:revisionPtr revIDLastSave="0" documentId="13_ncr:1_{6283BE71-9A4E-4853-9165-7FC508A8B45C}" xr6:coauthVersionLast="47" xr6:coauthVersionMax="47" xr10:uidLastSave="{00000000-0000-0000-0000-000000000000}"/>
  <bookViews>
    <workbookView xWindow="40335" yWindow="2445" windowWidth="28800" windowHeight="15435" activeTab="1" xr2:uid="{00000000-000D-0000-FFFF-FFFF00000000}"/>
  </bookViews>
  <sheets>
    <sheet name="Forside" sheetId="2" r:id="rId1"/>
    <sheet name="Beregning" sheetId="1" r:id="rId2"/>
  </sheets>
  <definedNames>
    <definedName name="attraksjon_bak_mur">Beregning!$H$6</definedName>
    <definedName name="attraksjon_under_mur">Beregning!$H$10</definedName>
    <definedName name="Avstand_fra_murfront_for_vertikal_kraft__xp">Beregning!$B$11</definedName>
    <definedName name="bo_effektiv_fundamentbredde">Beregning!$H$44</definedName>
    <definedName name="Boggilast_bak_mur__qQk">Beregning!$B$5</definedName>
    <definedName name="bæreevnefaktor">Beregning!$M$40</definedName>
    <definedName name="db_helning_av_bakkant_mur">Beregning!$B$30</definedName>
    <definedName name="delta_murhelning_for_Kd_beregning">Beregning!$B$31</definedName>
    <definedName name="e_vertikalresultantens_eksentrisitet">Beregning!$H$40</definedName>
    <definedName name="eff._tyngde_for_matr._over_murnivå">Beregning!$H$12</definedName>
    <definedName name="Eh_samlet_jordtrykk_på_bakkant_mur">Beregning!$B$42</definedName>
    <definedName name="ekstra_bredde_av_bunnblokk_er">Beregning!$B$18</definedName>
    <definedName name="faktor_N">Beregning!$R$104</definedName>
    <definedName name="friksjonsvinkel_for_matr._bak_muren">Beregning!$H$5</definedName>
    <definedName name="friksjonsvinkel_for_matr._under_muren">Beregning!$H$9</definedName>
    <definedName name="fsa_red.faktor_for_skrånende_terreng">Beregning!$M$43</definedName>
    <definedName name="fsq_red.faktor_for_skrånende_terreng">Beregning!$M$42</definedName>
    <definedName name="Gvekt">Beregning!$U$118</definedName>
    <definedName name="K_A_korrigert">Beregning!$B$36</definedName>
    <definedName name="K_Aktiv">Beregning!$B$35</definedName>
    <definedName name="K_delta" localSheetId="1">Beregning!$B$37</definedName>
    <definedName name="K_delta">Beregning!$B$37</definedName>
    <definedName name="Kp">Beregning!#REF!</definedName>
    <definedName name="Lastfaktor__γQ">Beregning!$B$6</definedName>
    <definedName name="materialfaktor">Beregning!$B$24</definedName>
    <definedName name="Momentarm_vertikallast_cpv">Beregning!$R$86</definedName>
    <definedName name="murens_bredde_ved_bunn">Beregning!$B$16</definedName>
    <definedName name="murens_bredde_øverst">Beregning!$B$19</definedName>
    <definedName name="murens_fotdybde">Beregning!$B$15</definedName>
    <definedName name="murens_helning">Beregning!$B$20</definedName>
    <definedName name="murens_vekt">Beregning!$B$40</definedName>
    <definedName name="murhøyde_inkl._fotdybde">Beregning!$B$14</definedName>
    <definedName name="N">Beregning!#REF!</definedName>
    <definedName name="Ngamma_bæreevnefaktor">Beregning!$M$40</definedName>
    <definedName name="Nq_bæreevnefaktor">Beregning!$M$41</definedName>
    <definedName name="Nyttelast_bak_mur">Beregning!$B$4</definedName>
    <definedName name="Omega_a">Beregning!$R$88</definedName>
    <definedName name="omega_radianer">Beregning!$R$103</definedName>
    <definedName name="p_gamma">Beregning!$B$4</definedName>
    <definedName name="pi">Beregning!$R$89</definedName>
    <definedName name="_xlnm.Print_Area" localSheetId="1">Beregning!$A$3:$M$61</definedName>
    <definedName name="_xlnm.Print_Area" localSheetId="0">Forside!$A$1:$G$52</definedName>
    <definedName name="Qv_vertikalresultant">Beregning!$B$41</definedName>
    <definedName name="qv_vertikalspenning__gjennomsnittlig">Beregning!$H$41</definedName>
    <definedName name="rorad">Beregning!#REF!</definedName>
    <definedName name="ruhet">Beregning!#REF!</definedName>
    <definedName name="ruhet_bak_muren">Beregning!$B$22</definedName>
    <definedName name="s_hellende_terreng_bak_mur">Beregning!$B$28</definedName>
    <definedName name="s_jordtrykk">Beregning!$R$87</definedName>
    <definedName name="spes._tyngde_for_muren">Beregning!$B$12</definedName>
    <definedName name="spes_tyngde_for_matr._under_mur">Beregning!$H$11</definedName>
    <definedName name="spesifikk_tyngde_bak_muren">Beregning!$H$7</definedName>
    <definedName name="t_hellende_terreng_bak_mur">Beregning!$B$29</definedName>
    <definedName name="TA_skjærkraft_på_bakskråning">Beregning!$B$39</definedName>
    <definedName name="tanro_mob._friksjonsvinkel_bak_mur">Beregning!$B$27</definedName>
    <definedName name="tanro_mob._friksjonsvinkel_under_mur">Beregning!$B$26</definedName>
    <definedName name="tanro_under_mur">Beregning!$R$98</definedName>
    <definedName name="Tekstboks10">Beregning!#REF!</definedName>
    <definedName name="terrenghelning_foran_muren">Beregning!$B$21</definedName>
    <definedName name="terrenghelning_over_bakenfor_muren">Beregning!$B$7</definedName>
    <definedName name="test_om_strekk_i_topp">Beregning!#REF!</definedName>
    <definedName name="tgalf">Beregning!#REF!</definedName>
    <definedName name="tgro">Beregning!#REF!</definedName>
    <definedName name="tilhørende_momentarm_c1">Beregning!$B$47</definedName>
    <definedName name="tilhørende_momentarm_c2">Beregning!$B$44</definedName>
    <definedName name="tilhørende_momentarm_c3">Beregning!$B$45</definedName>
    <definedName name="tilhørende_momentarm_c4">Beregning!$B$46</definedName>
    <definedName name="Vertikallast_topp_mur_PV">Beregning!$B$9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B46" i="1"/>
  <c r="H40" i="1"/>
  <c r="B71" i="1" l="1"/>
  <c r="B73" i="1"/>
  <c r="B74" i="1" s="1"/>
  <c r="R124" i="1" l="1"/>
  <c r="O145" i="1"/>
  <c r="R119" i="1" l="1"/>
  <c r="M42" i="1" l="1"/>
  <c r="O120" i="1"/>
  <c r="A61" i="1"/>
  <c r="H61" i="1"/>
  <c r="R86" i="1"/>
  <c r="R97" i="1" l="1"/>
  <c r="J78" i="1"/>
  <c r="J77" i="1"/>
  <c r="D73" i="1"/>
  <c r="D74" i="1" s="1"/>
  <c r="B30" i="1" l="1"/>
  <c r="A34" i="1" l="1"/>
  <c r="U118" i="1"/>
  <c r="AH116" i="1"/>
  <c r="AH112" i="1"/>
  <c r="AH111" i="1"/>
  <c r="AH107" i="1"/>
  <c r="AH106" i="1"/>
  <c r="AH104" i="1"/>
  <c r="AH103" i="1"/>
  <c r="AH102" i="1"/>
  <c r="B40" i="1" l="1"/>
  <c r="B45" i="1" s="1"/>
  <c r="AH119" i="1"/>
  <c r="AH120" i="1" s="1"/>
  <c r="AH114" i="1"/>
  <c r="AF71" i="1"/>
  <c r="AF69" i="1" l="1"/>
  <c r="AF70" i="1" s="1"/>
  <c r="AF72" i="1" s="1"/>
  <c r="AF73" i="1"/>
  <c r="AE75" i="1" s="1"/>
  <c r="AF75" i="1" l="1"/>
  <c r="R71" i="1"/>
  <c r="R89" i="1"/>
  <c r="R73" i="1"/>
  <c r="R141" i="1"/>
  <c r="R142" i="1"/>
  <c r="R140" i="1"/>
  <c r="T141" i="1"/>
  <c r="T140" i="1"/>
  <c r="R105" i="1"/>
  <c r="U98" i="1" s="1"/>
  <c r="R90" i="1"/>
  <c r="R143" i="1" l="1"/>
  <c r="AH110" i="1"/>
  <c r="AH115" i="1" s="1"/>
  <c r="AH124" i="1" s="1"/>
  <c r="AH108" i="1"/>
  <c r="AH121" i="1"/>
  <c r="AH122" i="1" s="1"/>
  <c r="AH113" i="1"/>
  <c r="AH117" i="1"/>
  <c r="AH118" i="1" s="1"/>
  <c r="R129" i="1"/>
  <c r="R130" i="1" s="1"/>
  <c r="R131" i="1" s="1"/>
  <c r="R133" i="1" s="1"/>
  <c r="AG75" i="1"/>
  <c r="AH75" i="1" s="1"/>
  <c r="AI75" i="1" s="1"/>
  <c r="AJ75" i="1" s="1"/>
  <c r="X100" i="1"/>
  <c r="Y100" i="1" s="1"/>
  <c r="AA100" i="1"/>
  <c r="AB100" i="1" s="1"/>
  <c r="V106" i="1"/>
  <c r="W106" i="1" s="1"/>
  <c r="X106" i="1"/>
  <c r="Y106" i="1" s="1"/>
  <c r="X103" i="1"/>
  <c r="R72" i="1"/>
  <c r="B27" i="1" s="1"/>
  <c r="R87" i="1" s="1"/>
  <c r="R106" i="1"/>
  <c r="R107" i="1" s="1"/>
  <c r="R74" i="1"/>
  <c r="B26" i="1" s="1"/>
  <c r="R98" i="1" s="1"/>
  <c r="V67" i="1" s="1"/>
  <c r="V69" i="1" s="1"/>
  <c r="V70" i="1" s="1"/>
  <c r="X105" i="1"/>
  <c r="X104" i="1"/>
  <c r="W104" i="1"/>
  <c r="Y104" i="1"/>
  <c r="V103" i="1"/>
  <c r="V104" i="1"/>
  <c r="V105" i="1"/>
  <c r="W105" i="1"/>
  <c r="W103" i="1"/>
  <c r="V102" i="1"/>
  <c r="W102" i="1" s="1"/>
  <c r="V101" i="1"/>
  <c r="W101" i="1" s="1"/>
  <c r="V100" i="1"/>
  <c r="W100" i="1" s="1"/>
  <c r="Y105" i="1"/>
  <c r="Y103" i="1"/>
  <c r="X102" i="1"/>
  <c r="Y102" i="1" s="1"/>
  <c r="X101" i="1"/>
  <c r="Y101" i="1" s="1"/>
  <c r="R70" i="1" l="1"/>
  <c r="H43" i="1" s="1"/>
  <c r="R88" i="1"/>
  <c r="B31" i="1"/>
  <c r="V71" i="1"/>
  <c r="V72" i="1" s="1"/>
  <c r="R100" i="1"/>
  <c r="R110" i="1" s="1"/>
  <c r="AE76" i="1"/>
  <c r="AK75" i="1"/>
  <c r="AL75" i="1" s="1"/>
  <c r="Y107" i="1"/>
  <c r="AD100" i="1"/>
  <c r="R116" i="1" s="1"/>
  <c r="AC100" i="1"/>
  <c r="R117" i="1" s="1"/>
  <c r="M43" i="1" s="1"/>
  <c r="R99" i="1"/>
  <c r="R104" i="1" s="1"/>
  <c r="R93" i="1"/>
  <c r="W107" i="1"/>
  <c r="B28" i="1" l="1"/>
  <c r="B29" i="1" s="1"/>
  <c r="A33" i="1" s="1"/>
  <c r="AF76" i="1"/>
  <c r="R108" i="1"/>
  <c r="R109" i="1" s="1"/>
  <c r="R111" i="1" s="1"/>
  <c r="R94" i="1"/>
  <c r="R132" i="1" s="1"/>
  <c r="R134" i="1" s="1"/>
  <c r="R135" i="1" s="1"/>
  <c r="B37" i="1" s="1"/>
  <c r="R92" i="1" l="1"/>
  <c r="AG76" i="1"/>
  <c r="AH76" i="1" s="1"/>
  <c r="AI76" i="1" s="1"/>
  <c r="AJ76" i="1" s="1"/>
  <c r="R113" i="1" l="1"/>
  <c r="B35" i="1" s="1"/>
  <c r="B36" i="1" s="1"/>
  <c r="D78" i="1" s="1"/>
  <c r="AE77" i="1"/>
  <c r="AK76" i="1"/>
  <c r="AL76" i="1" s="1"/>
  <c r="B95" i="1" l="1"/>
  <c r="F95" i="1" s="1"/>
  <c r="B82" i="1"/>
  <c r="F82" i="1" s="1"/>
  <c r="B100" i="1"/>
  <c r="B101" i="1" s="1"/>
  <c r="B87" i="1"/>
  <c r="B88" i="1" s="1"/>
  <c r="R75" i="1"/>
  <c r="R76" i="1" s="1"/>
  <c r="R77" i="1"/>
  <c r="R78" i="1" s="1"/>
  <c r="R79" i="1"/>
  <c r="R80" i="1" s="1"/>
  <c r="AF77" i="1"/>
  <c r="B84" i="1" l="1"/>
  <c r="B97" i="1"/>
  <c r="F88" i="1"/>
  <c r="B90" i="1"/>
  <c r="B102" i="1"/>
  <c r="B103" i="1"/>
  <c r="B104" i="1"/>
  <c r="B83" i="1"/>
  <c r="B96" i="1"/>
  <c r="B89" i="1"/>
  <c r="AG77" i="1"/>
  <c r="AH77" i="1" s="1"/>
  <c r="AI77" i="1" s="1"/>
  <c r="AJ77" i="1" s="1"/>
  <c r="B106" i="1" l="1"/>
  <c r="R85" i="1" s="1"/>
  <c r="B105" i="1"/>
  <c r="R83" i="1" s="1"/>
  <c r="B42" i="1" s="1"/>
  <c r="AE78" i="1"/>
  <c r="AK77" i="1"/>
  <c r="AL77" i="1" s="1"/>
  <c r="AF78" i="1" l="1"/>
  <c r="AG78" i="1" l="1"/>
  <c r="AH78" i="1" s="1"/>
  <c r="AI78" i="1" s="1"/>
  <c r="AJ78" i="1" s="1"/>
  <c r="AE79" i="1" l="1"/>
  <c r="AK78" i="1"/>
  <c r="AL78" i="1" s="1"/>
  <c r="AF79" i="1" l="1"/>
  <c r="AG79" i="1" l="1"/>
  <c r="AH79" i="1" s="1"/>
  <c r="AI79" i="1" s="1"/>
  <c r="AJ79" i="1" s="1"/>
  <c r="AE80" i="1" l="1"/>
  <c r="AK79" i="1"/>
  <c r="AL79" i="1" s="1"/>
  <c r="AF80" i="1" l="1"/>
  <c r="AG80" i="1" l="1"/>
  <c r="AH80" i="1" s="1"/>
  <c r="AI80" i="1" s="1"/>
  <c r="AJ80" i="1" s="1"/>
  <c r="AE81" i="1" l="1"/>
  <c r="AK80" i="1"/>
  <c r="AL80" i="1" s="1"/>
  <c r="AF81" i="1" l="1"/>
  <c r="AG81" i="1" l="1"/>
  <c r="AH81" i="1" s="1"/>
  <c r="AI81" i="1" s="1"/>
  <c r="AJ81" i="1" s="1"/>
  <c r="AE82" i="1" l="1"/>
  <c r="AK81" i="1"/>
  <c r="AL81" i="1" s="1"/>
  <c r="AF82" i="1" l="1"/>
  <c r="AG82" i="1" l="1"/>
  <c r="AH82" i="1" s="1"/>
  <c r="AI82" i="1" s="1"/>
  <c r="AJ82" i="1" s="1"/>
  <c r="AE83" i="1" l="1"/>
  <c r="AK82" i="1"/>
  <c r="AL82" i="1" s="1"/>
  <c r="AF83" i="1" l="1"/>
  <c r="AG83" i="1" l="1"/>
  <c r="AH83" i="1" s="1"/>
  <c r="AI83" i="1" s="1"/>
  <c r="AJ83" i="1" s="1"/>
  <c r="AE84" i="1" l="1"/>
  <c r="AK83" i="1"/>
  <c r="AL83" i="1" s="1"/>
  <c r="AF84" i="1" l="1"/>
  <c r="AG84" i="1" l="1"/>
  <c r="AH84" i="1" s="1"/>
  <c r="AI84" i="1" s="1"/>
  <c r="AJ84" i="1" s="1"/>
  <c r="AE85" i="1" l="1"/>
  <c r="AK84" i="1"/>
  <c r="AL84" i="1" s="1"/>
  <c r="AF85" i="1" l="1"/>
  <c r="AG85" i="1" l="1"/>
  <c r="AH85" i="1" s="1"/>
  <c r="AI85" i="1" s="1"/>
  <c r="AJ85" i="1" s="1"/>
  <c r="AE86" i="1" l="1"/>
  <c r="AK85" i="1"/>
  <c r="AL85" i="1" s="1"/>
  <c r="AF86" i="1" l="1"/>
  <c r="AG86" i="1" l="1"/>
  <c r="AH86" i="1" s="1"/>
  <c r="AI86" i="1" s="1"/>
  <c r="AJ86" i="1" s="1"/>
  <c r="AE87" i="1" l="1"/>
  <c r="AK86" i="1"/>
  <c r="AL86" i="1" s="1"/>
  <c r="AF87" i="1" l="1"/>
  <c r="AG87" i="1" l="1"/>
  <c r="AH87" i="1" s="1"/>
  <c r="AI87" i="1" s="1"/>
  <c r="AJ87" i="1" s="1"/>
  <c r="AE88" i="1" l="1"/>
  <c r="AK87" i="1"/>
  <c r="AL87" i="1" s="1"/>
  <c r="AF88" i="1" l="1"/>
  <c r="AG88" i="1" l="1"/>
  <c r="AH88" i="1" s="1"/>
  <c r="AI88" i="1" s="1"/>
  <c r="AJ88" i="1" s="1"/>
  <c r="AE89" i="1" l="1"/>
  <c r="AK88" i="1"/>
  <c r="AL88" i="1" s="1"/>
  <c r="AF89" i="1" l="1"/>
  <c r="AG89" i="1" l="1"/>
  <c r="AH89" i="1" s="1"/>
  <c r="AI89" i="1" s="1"/>
  <c r="AJ89" i="1" s="1"/>
  <c r="AE90" i="1" l="1"/>
  <c r="AK89" i="1"/>
  <c r="AL89" i="1" s="1"/>
  <c r="AF90" i="1" l="1"/>
  <c r="AG90" i="1" l="1"/>
  <c r="AH90" i="1" s="1"/>
  <c r="AI90" i="1" s="1"/>
  <c r="AJ90" i="1" s="1"/>
  <c r="AE91" i="1" l="1"/>
  <c r="AK90" i="1"/>
  <c r="AL90" i="1" s="1"/>
  <c r="AF91" i="1" l="1"/>
  <c r="AG91" i="1" l="1"/>
  <c r="AH91" i="1" s="1"/>
  <c r="AI91" i="1" s="1"/>
  <c r="AJ91" i="1" s="1"/>
  <c r="AE92" i="1" l="1"/>
  <c r="AK91" i="1"/>
  <c r="AL91" i="1" s="1"/>
  <c r="AF92" i="1" l="1"/>
  <c r="AG92" i="1" l="1"/>
  <c r="AH92" i="1" s="1"/>
  <c r="AI92" i="1" s="1"/>
  <c r="AJ92" i="1" s="1"/>
  <c r="AE93" i="1" l="1"/>
  <c r="AK92" i="1"/>
  <c r="AL92" i="1" s="1"/>
  <c r="AF93" i="1" l="1"/>
  <c r="AG93" i="1" l="1"/>
  <c r="AH93" i="1" s="1"/>
  <c r="AI93" i="1" s="1"/>
  <c r="AJ93" i="1" s="1"/>
  <c r="AE94" i="1" l="1"/>
  <c r="AK93" i="1"/>
  <c r="AL93" i="1" s="1"/>
  <c r="AF94" i="1" l="1"/>
  <c r="AG94" i="1" l="1"/>
  <c r="AH94" i="1" s="1"/>
  <c r="AI94" i="1" s="1"/>
  <c r="AJ94" i="1" s="1"/>
  <c r="AK94" i="1" s="1"/>
  <c r="AL94" i="1" s="1"/>
  <c r="AL95" i="1" s="1"/>
  <c r="F101" i="1" l="1"/>
  <c r="F104" i="1" s="1"/>
  <c r="F83" i="1"/>
  <c r="R81" i="1" l="1"/>
  <c r="B38" i="1" s="1"/>
  <c r="F102" i="1"/>
  <c r="F96" i="1"/>
  <c r="F89" i="1"/>
  <c r="F105" i="1" l="1"/>
  <c r="R84" i="1" s="1"/>
  <c r="B47" i="1" s="1"/>
  <c r="B44" i="1" s="1"/>
  <c r="R82" i="1"/>
  <c r="B43" i="1" s="1"/>
  <c r="B39" i="1" l="1"/>
  <c r="B41" i="1" s="1"/>
  <c r="W111" i="1" l="1"/>
  <c r="R120" i="1" s="1"/>
  <c r="R126" i="1" l="1"/>
  <c r="R121" i="1"/>
  <c r="X111" i="1"/>
  <c r="R125" i="1" l="1"/>
  <c r="H45" i="1" s="1"/>
  <c r="H44" i="1"/>
  <c r="S145" i="1" s="1"/>
  <c r="H41" i="1" l="1"/>
  <c r="H42" i="1" s="1"/>
  <c r="D46" i="1" s="1"/>
  <c r="R91" i="1" l="1"/>
  <c r="R67" i="1"/>
  <c r="V68" i="1" l="1"/>
  <c r="V73" i="1" s="1"/>
  <c r="U75" i="1" s="1"/>
  <c r="R101" i="1"/>
  <c r="R103" i="1" s="1"/>
  <c r="R102" i="1" l="1"/>
  <c r="R114" i="1"/>
  <c r="M41" i="1" s="1"/>
  <c r="V75" i="1"/>
  <c r="W75" i="1" s="1"/>
  <c r="X75" i="1" s="1"/>
  <c r="Y75" i="1" s="1"/>
  <c r="Z75" i="1" s="1"/>
  <c r="U76" i="1" s="1"/>
  <c r="V76" i="1" s="1"/>
  <c r="W76" i="1" s="1"/>
  <c r="X76" i="1" s="1"/>
  <c r="Y76" i="1" s="1"/>
  <c r="Z76" i="1" s="1"/>
  <c r="AA75" i="1" l="1"/>
  <c r="AB75" i="1" s="1"/>
  <c r="U77" i="1"/>
  <c r="AA76" i="1"/>
  <c r="AB76" i="1" s="1"/>
  <c r="V77" i="1" l="1"/>
  <c r="W77" i="1" l="1"/>
  <c r="X77" i="1" s="1"/>
  <c r="Y77" i="1" s="1"/>
  <c r="Z77" i="1" s="1"/>
  <c r="U78" i="1" l="1"/>
  <c r="AA77" i="1"/>
  <c r="AB77" i="1" s="1"/>
  <c r="V78" i="1" l="1"/>
  <c r="W78" i="1" s="1"/>
  <c r="X78" i="1" s="1"/>
  <c r="Y78" i="1" s="1"/>
  <c r="Z78" i="1" s="1"/>
  <c r="U79" i="1" s="1"/>
  <c r="AA78" i="1" l="1"/>
  <c r="AB78" i="1" s="1"/>
  <c r="V79" i="1"/>
  <c r="W79" i="1" s="1"/>
  <c r="X79" i="1" s="1"/>
  <c r="Y79" i="1" s="1"/>
  <c r="Z79" i="1" s="1"/>
  <c r="U80" i="1" s="1"/>
  <c r="V80" i="1" s="1"/>
  <c r="AA79" i="1" l="1"/>
  <c r="AB79" i="1" s="1"/>
  <c r="W80" i="1"/>
  <c r="X80" i="1" s="1"/>
  <c r="Y80" i="1" s="1"/>
  <c r="Z80" i="1" s="1"/>
  <c r="U81" i="1" l="1"/>
  <c r="V81" i="1" s="1"/>
  <c r="W81" i="1" s="1"/>
  <c r="X81" i="1" s="1"/>
  <c r="Y81" i="1" s="1"/>
  <c r="Z81" i="1" s="1"/>
  <c r="AA80" i="1"/>
  <c r="AB80" i="1" s="1"/>
  <c r="U82" i="1" l="1"/>
  <c r="AA81" i="1"/>
  <c r="AB81" i="1" s="1"/>
  <c r="V82" i="1" l="1"/>
  <c r="W82" i="1" l="1"/>
  <c r="X82" i="1" s="1"/>
  <c r="Y82" i="1" s="1"/>
  <c r="Z82" i="1" s="1"/>
  <c r="U83" i="1" l="1"/>
  <c r="AA82" i="1"/>
  <c r="AB82" i="1" s="1"/>
  <c r="V83" i="1" l="1"/>
  <c r="W83" i="1" l="1"/>
  <c r="X83" i="1" s="1"/>
  <c r="Y83" i="1" s="1"/>
  <c r="Z83" i="1" s="1"/>
  <c r="U84" i="1" l="1"/>
  <c r="AA83" i="1"/>
  <c r="AB83" i="1" s="1"/>
  <c r="V84" i="1" l="1"/>
  <c r="W84" i="1" l="1"/>
  <c r="X84" i="1" s="1"/>
  <c r="Y84" i="1" s="1"/>
  <c r="Z84" i="1" s="1"/>
  <c r="U85" i="1" l="1"/>
  <c r="AA84" i="1"/>
  <c r="AB84" i="1" s="1"/>
  <c r="V85" i="1" l="1"/>
  <c r="W85" i="1" l="1"/>
  <c r="X85" i="1" s="1"/>
  <c r="Y85" i="1" s="1"/>
  <c r="Z85" i="1" s="1"/>
  <c r="U86" i="1" l="1"/>
  <c r="AA85" i="1"/>
  <c r="AB85" i="1" s="1"/>
  <c r="V86" i="1" l="1"/>
  <c r="W86" i="1" l="1"/>
  <c r="X86" i="1" s="1"/>
  <c r="Y86" i="1" s="1"/>
  <c r="Z86" i="1" s="1"/>
  <c r="U87" i="1" l="1"/>
  <c r="AA86" i="1"/>
  <c r="AB86" i="1" s="1"/>
  <c r="V87" i="1" l="1"/>
  <c r="W87" i="1" l="1"/>
  <c r="X87" i="1" s="1"/>
  <c r="Y87" i="1" s="1"/>
  <c r="Z87" i="1" s="1"/>
  <c r="U88" i="1" l="1"/>
  <c r="AA87" i="1"/>
  <c r="AB87" i="1" s="1"/>
  <c r="V88" i="1" l="1"/>
  <c r="W88" i="1" l="1"/>
  <c r="X88" i="1" s="1"/>
  <c r="Y88" i="1" s="1"/>
  <c r="Z88" i="1" s="1"/>
  <c r="U89" i="1" l="1"/>
  <c r="AA88" i="1"/>
  <c r="AB88" i="1" s="1"/>
  <c r="V89" i="1" l="1"/>
  <c r="W89" i="1" l="1"/>
  <c r="X89" i="1" s="1"/>
  <c r="Y89" i="1" s="1"/>
  <c r="Z89" i="1" s="1"/>
  <c r="U90" i="1" l="1"/>
  <c r="AA89" i="1"/>
  <c r="AB89" i="1" s="1"/>
  <c r="V90" i="1" l="1"/>
  <c r="W90" i="1" l="1"/>
  <c r="X90" i="1" s="1"/>
  <c r="Y90" i="1" s="1"/>
  <c r="Z90" i="1" s="1"/>
  <c r="U91" i="1" l="1"/>
  <c r="AA90" i="1"/>
  <c r="AB90" i="1" s="1"/>
  <c r="V91" i="1" l="1"/>
  <c r="W91" i="1" l="1"/>
  <c r="X91" i="1" s="1"/>
  <c r="Y91" i="1" s="1"/>
  <c r="Z91" i="1" s="1"/>
  <c r="U92" i="1" l="1"/>
  <c r="AA91" i="1"/>
  <c r="AB91" i="1" s="1"/>
  <c r="V92" i="1" l="1"/>
  <c r="W92" i="1" l="1"/>
  <c r="X92" i="1" s="1"/>
  <c r="Y92" i="1" s="1"/>
  <c r="Z92" i="1" s="1"/>
  <c r="U93" i="1" l="1"/>
  <c r="AA92" i="1"/>
  <c r="AB92" i="1" s="1"/>
  <c r="V93" i="1" l="1"/>
  <c r="W93" i="1" l="1"/>
  <c r="X93" i="1" s="1"/>
  <c r="Y93" i="1" s="1"/>
  <c r="Z93" i="1" s="1"/>
  <c r="U94" i="1" l="1"/>
  <c r="AA93" i="1"/>
  <c r="AB93" i="1" s="1"/>
  <c r="V94" i="1" l="1"/>
  <c r="W94" i="1" l="1"/>
  <c r="X94" i="1" s="1"/>
  <c r="Y94" i="1" s="1"/>
  <c r="Z94" i="1" s="1"/>
  <c r="AA94" i="1" s="1"/>
  <c r="AB94" i="1" s="1"/>
  <c r="AB95" i="1" s="1"/>
  <c r="R115" i="1" s="1"/>
  <c r="M40" i="1" s="1"/>
  <c r="M44" i="1" s="1"/>
  <c r="R68" i="1" l="1"/>
  <c r="R69" i="1" s="1"/>
  <c r="M45" i="1" s="1"/>
  <c r="I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Fredrik Åsheim Falle</author>
    <author>Even Øiseth</author>
    <author>Bruun Hermann</author>
  </authors>
  <commentList>
    <comment ref="B4" authorId="0" shapeId="0" xr:uid="{4379278D-F0E9-4D61-99E0-B56CD544DBCA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Minimumsverdi 5 kPa i henhold til trafikklastforskriften </t>
        </r>
      </text>
    </comment>
    <comment ref="B5" authorId="0" shapeId="0" xr:uid="{7B98E143-885A-45A6-8A61-4FFA3EB194FC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For trafikklast er standardverdi for trafikklast 25 kPa iht. trafikklastforskriften. </t>
        </r>
      </text>
    </comment>
    <comment ref="B6" authorId="0" shapeId="0" xr:uid="{17D98AE2-25F2-4956-B4BA-5E2BEA59D1A2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Anbefalt verdi 1,3 dersom lastvirkning er bestemt iht. krav 4.6-3 og 6.2.5-2 i vegnormal N400. </t>
        </r>
      </text>
    </comment>
    <comment ref="C6" authorId="0" shapeId="0" xr:uid="{6287DD05-CB45-40BF-977C-8B1A6123CE9A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Anbefalt verdi 1,15 dersom lastvirkning er bestemt iht. krav 4.6-3 og 6.2.5-2 i vegnormal N400.</t>
        </r>
      </text>
    </comment>
    <comment ref="H6" authorId="0" shapeId="0" xr:uid="{70880C0A-9E75-4027-B6B3-74127F752BFA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Ekvivalent attraksjon</t>
        </r>
      </text>
    </comment>
    <comment ref="B7" authorId="0" shapeId="0" xr:uid="{E9ECB304-6651-4EB8-BA56-DBD91AA94EFA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Ved ingen terrenghelning; sett lik 0</t>
        </r>
      </text>
    </comment>
    <comment ref="B8" authorId="1" shapeId="0" xr:uid="{50AD3FD1-0E71-483D-B2FD-3B3952B347D4}">
      <text>
        <r>
          <rPr>
            <b/>
            <sz val="9"/>
            <color indexed="81"/>
            <rFont val="Tahoma"/>
            <family val="2"/>
          </rPr>
          <t>Even Øiseth:</t>
        </r>
        <r>
          <rPr>
            <sz val="9"/>
            <color indexed="81"/>
            <rFont val="Tahoma"/>
            <family val="2"/>
          </rPr>
          <t xml:space="preserve">
Typisk last fra støyskjerm eller gjerde. Brukes også til ulykkeslast.</t>
        </r>
      </text>
    </comment>
    <comment ref="B22" authorId="0" shapeId="0" xr:uid="{13F1D5EC-99CD-48D1-8DA8-ADDD37592032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Se tabell 9-3 i hb. V220</t>
        </r>
      </text>
    </comment>
    <comment ref="H40" authorId="0" shapeId="0" xr:uid="{3575CF8F-5E76-42ED-9DDC-EC6192154759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Ved negativ eksentrisitet, vurder å nedjustere vertikal ruhet</t>
        </r>
      </text>
    </comment>
    <comment ref="D78" authorId="0" shapeId="0" xr:uid="{0B749F1E-6081-4069-A587-9C4DE904B908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Oppgitt testkriterie i V220 tar ikke med lastfaktor. Denne er derimot medtatt her</t>
        </r>
      </text>
    </comment>
    <comment ref="F83" authorId="0" shapeId="0" xr:uid="{2DC9A895-FD62-45EF-9A65-FE514F8B357D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Usikker på denne</t>
        </r>
      </text>
    </comment>
    <comment ref="R87" authorId="0" shapeId="0" xr:uid="{18CA435F-901E-4870-ADA5-70A7BE1F1D38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Disse må sjekkes
</t>
        </r>
      </text>
    </comment>
    <comment ref="F89" authorId="0" shapeId="0" xr:uid="{45539C6B-CB1E-4F98-B4B5-2464FD901AC6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Usikker på denne</t>
        </r>
      </text>
    </comment>
    <comment ref="S91" authorId="2" shapeId="0" xr:uid="{00000000-0006-0000-0000-000002000000}">
      <text>
        <r>
          <rPr>
            <b/>
            <sz val="9"/>
            <color indexed="81"/>
            <rFont val="Tahoma"/>
            <family val="2"/>
          </rPr>
          <t>Bruun Hermann:</t>
        </r>
        <r>
          <rPr>
            <sz val="9"/>
            <color indexed="81"/>
            <rFont val="Tahoma"/>
            <family val="2"/>
          </rPr>
          <t xml:space="preserve">
Rettelse i versjon -2009
</t>
        </r>
      </text>
    </comment>
    <comment ref="O94" authorId="2" shapeId="0" xr:uid="{00000000-0006-0000-0000-000001000000}">
      <text>
        <r>
          <rPr>
            <b/>
            <sz val="9"/>
            <color indexed="81"/>
            <rFont val="Tahoma"/>
            <family val="2"/>
          </rPr>
          <t>Bruun Hermann:</t>
        </r>
        <r>
          <rPr>
            <sz val="9"/>
            <color indexed="81"/>
            <rFont val="Tahoma"/>
            <family val="2"/>
          </rPr>
          <t xml:space="preserve">
lagt til i versjon -2009
</t>
        </r>
      </text>
    </comment>
    <comment ref="F96" authorId="0" shapeId="0" xr:uid="{E2657D7E-DF48-4DF8-994B-C6D3CE10AE63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Usikker på denne</t>
        </r>
      </text>
    </comment>
    <comment ref="AC99" authorId="2" shapeId="0" xr:uid="{00000000-0006-0000-0000-000003000000}">
      <text>
        <r>
          <rPr>
            <b/>
            <sz val="9"/>
            <color indexed="81"/>
            <rFont val="Tahoma"/>
            <family val="2"/>
          </rPr>
          <t>Bruun Hermann:</t>
        </r>
        <r>
          <rPr>
            <sz val="9"/>
            <color indexed="81"/>
            <rFont val="Tahoma"/>
            <family val="2"/>
          </rPr>
          <t xml:space="preserve">
e(-2*beta*tan ød) beta i radianer
</t>
        </r>
      </text>
    </comment>
    <comment ref="AD99" authorId="2" shapeId="0" xr:uid="{00000000-0006-0000-0000-000004000000}">
      <text>
        <r>
          <rPr>
            <b/>
            <sz val="9"/>
            <color indexed="81"/>
            <rFont val="Tahoma"/>
            <family val="2"/>
          </rPr>
          <t>Bruun Hermann:</t>
        </r>
        <r>
          <rPr>
            <sz val="9"/>
            <color indexed="81"/>
            <rFont val="Tahoma"/>
            <family val="2"/>
          </rPr>
          <t xml:space="preserve">
fsq=(1-0.55*tan beta)^5</t>
        </r>
      </text>
    </comment>
    <comment ref="F102" authorId="0" shapeId="0" xr:uid="{33A09B5A-9806-4043-920E-4661202E113D}">
      <text>
        <r>
          <rPr>
            <b/>
            <sz val="9"/>
            <color indexed="81"/>
            <rFont val="Tahoma"/>
            <family val="2"/>
          </rPr>
          <t>Fredrik Åsheim Falle:</t>
        </r>
        <r>
          <rPr>
            <sz val="9"/>
            <color indexed="81"/>
            <rFont val="Tahoma"/>
            <family val="2"/>
          </rPr>
          <t xml:space="preserve">
Usikker på denne</t>
        </r>
      </text>
    </comment>
    <comment ref="AE108" authorId="2" shapeId="0" xr:uid="{00000000-0006-0000-0000-000005000000}">
      <text>
        <r>
          <rPr>
            <b/>
            <sz val="9"/>
            <color indexed="81"/>
            <rFont val="Tahoma"/>
            <family val="2"/>
          </rPr>
          <t>Bruun Hermann:</t>
        </r>
        <r>
          <rPr>
            <sz val="9"/>
            <color indexed="81"/>
            <rFont val="Tahoma"/>
            <family val="2"/>
          </rPr>
          <t xml:space="preserve">
lagt til i versjon -2009
</t>
        </r>
      </text>
    </comment>
  </commentList>
</comments>
</file>

<file path=xl/sharedStrings.xml><?xml version="1.0" encoding="utf-8"?>
<sst xmlns="http://schemas.openxmlformats.org/spreadsheetml/2006/main" count="393" uniqueCount="260">
  <si>
    <t>Jordtrykksberegning tørrmurer</t>
  </si>
  <si>
    <t>Beregning:</t>
  </si>
  <si>
    <t xml:space="preserve">Oppdrag: </t>
  </si>
  <si>
    <t>Oppdragsnummer:</t>
  </si>
  <si>
    <t>Sign.</t>
  </si>
  <si>
    <t>Dato</t>
  </si>
  <si>
    <t xml:space="preserve">Utført: </t>
  </si>
  <si>
    <t xml:space="preserve">Kontrollert: </t>
  </si>
  <si>
    <t xml:space="preserve">Revisjonsoversikt </t>
  </si>
  <si>
    <t>Rev.</t>
  </si>
  <si>
    <t>Utf.</t>
  </si>
  <si>
    <t xml:space="preserve">Kontr. </t>
  </si>
  <si>
    <t xml:space="preserve">Endring </t>
  </si>
  <si>
    <t>FRFA</t>
  </si>
  <si>
    <t>Utviklet. Tidligere beregningsark oppdatert iht. hb. V220</t>
  </si>
  <si>
    <t>Forslag til endring</t>
  </si>
  <si>
    <t>Navn</t>
  </si>
  <si>
    <t xml:space="preserve">Dato </t>
  </si>
  <si>
    <t>Forslag</t>
  </si>
  <si>
    <t>Laster</t>
  </si>
  <si>
    <t>Jordparametre</t>
  </si>
  <si>
    <t>Informasjon:</t>
  </si>
  <si>
    <r>
      <t>Nyttelast bak mur, q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1)</t>
    </r>
  </si>
  <si>
    <t>kPa</t>
  </si>
  <si>
    <t>Masser bak muren (bakfylling)</t>
  </si>
  <si>
    <r>
      <t>Boggilast bak mur, q</t>
    </r>
    <r>
      <rPr>
        <vertAlign val="subscript"/>
        <sz val="10"/>
        <rFont val="Arial"/>
        <family val="2"/>
      </rPr>
      <t>Qk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2)</t>
    </r>
  </si>
  <si>
    <r>
      <t xml:space="preserve">Friksjonsvinkel, </t>
    </r>
    <r>
      <rPr>
        <sz val="10"/>
        <rFont val="Calibri"/>
        <family val="2"/>
      </rPr>
      <t>φ</t>
    </r>
    <r>
      <rPr>
        <vertAlign val="subscript"/>
        <sz val="10"/>
        <rFont val="Arial"/>
        <family val="2"/>
      </rPr>
      <t>bak</t>
    </r>
  </si>
  <si>
    <t>°</t>
  </si>
  <si>
    <r>
      <t>Attraksjon, a</t>
    </r>
    <r>
      <rPr>
        <vertAlign val="subscript"/>
        <sz val="10"/>
        <rFont val="Arial"/>
        <family val="2"/>
      </rPr>
      <t>bak</t>
    </r>
    <r>
      <rPr>
        <sz val="10"/>
        <rFont val="Arial"/>
        <family val="2"/>
      </rPr>
      <t>/a</t>
    </r>
    <r>
      <rPr>
        <vertAlign val="subscript"/>
        <sz val="10"/>
        <rFont val="Arial"/>
        <family val="2"/>
      </rPr>
      <t>e,bak</t>
    </r>
  </si>
  <si>
    <r>
      <t xml:space="preserve">Helning bak mur, 1/tan </t>
    </r>
    <r>
      <rPr>
        <sz val="10"/>
        <rFont val="Calibri"/>
        <family val="2"/>
      </rPr>
      <t>β</t>
    </r>
  </si>
  <si>
    <r>
      <t xml:space="preserve">Spesifikk tyngdetetthet, </t>
    </r>
    <r>
      <rPr>
        <sz val="10"/>
        <rFont val="Calibri"/>
        <family val="2"/>
      </rPr>
      <t>γ'</t>
    </r>
    <r>
      <rPr>
        <vertAlign val="subscript"/>
        <sz val="10"/>
        <rFont val="Arial"/>
        <family val="2"/>
      </rPr>
      <t>bak</t>
    </r>
  </si>
  <si>
    <r>
      <t>kN/m</t>
    </r>
    <r>
      <rPr>
        <vertAlign val="superscript"/>
        <sz val="10"/>
        <rFont val="Arial"/>
        <family val="2"/>
      </rPr>
      <t>3</t>
    </r>
  </si>
  <si>
    <r>
      <t>Horisontallast topp mur (inkl. lastfaktor), P</t>
    </r>
    <r>
      <rPr>
        <vertAlign val="subscript"/>
        <sz val="10"/>
        <rFont val="Arial"/>
        <family val="2"/>
      </rPr>
      <t>H</t>
    </r>
  </si>
  <si>
    <t>kN/m</t>
  </si>
  <si>
    <t>Masser under/foran muren</t>
  </si>
  <si>
    <r>
      <t>Vertikallast topp mur (inkl. lastfaktor), P</t>
    </r>
    <r>
      <rPr>
        <vertAlign val="subscript"/>
        <sz val="10"/>
        <rFont val="Arial"/>
        <family val="2"/>
      </rPr>
      <t>V</t>
    </r>
  </si>
  <si>
    <r>
      <t xml:space="preserve">Friksjonsvinkel, </t>
    </r>
    <r>
      <rPr>
        <sz val="10"/>
        <rFont val="Calibri"/>
        <family val="2"/>
      </rPr>
      <t>φ</t>
    </r>
    <r>
      <rPr>
        <vertAlign val="subscript"/>
        <sz val="10"/>
        <rFont val="Arial"/>
        <family val="2"/>
      </rPr>
      <t>under/foran</t>
    </r>
  </si>
  <si>
    <r>
      <t>Høyde over mur for horisontal kraft, y</t>
    </r>
    <r>
      <rPr>
        <vertAlign val="subscript"/>
        <sz val="10"/>
        <rFont val="Arial"/>
        <family val="2"/>
      </rPr>
      <t>p</t>
    </r>
  </si>
  <si>
    <t>m</t>
  </si>
  <si>
    <r>
      <t>Attraksjon, a</t>
    </r>
    <r>
      <rPr>
        <vertAlign val="subscript"/>
        <sz val="10"/>
        <rFont val="Arial"/>
        <family val="2"/>
      </rPr>
      <t>under/foran</t>
    </r>
  </si>
  <si>
    <r>
      <t>Avstand fra murfront for vertikal kraft, x</t>
    </r>
    <r>
      <rPr>
        <vertAlign val="subscript"/>
        <sz val="10"/>
        <rFont val="Arial"/>
        <family val="2"/>
      </rPr>
      <t>p</t>
    </r>
  </si>
  <si>
    <r>
      <t xml:space="preserve">Spesifikk tyngdetetthet under mur, </t>
    </r>
    <r>
      <rPr>
        <sz val="10"/>
        <rFont val="Calibri"/>
        <family val="2"/>
      </rPr>
      <t>γ'</t>
    </r>
    <r>
      <rPr>
        <vertAlign val="subscript"/>
        <sz val="10"/>
        <rFont val="Arial"/>
        <family val="2"/>
      </rPr>
      <t>under</t>
    </r>
  </si>
  <si>
    <r>
      <t xml:space="preserve">Spesifikk tyngdetetthet mur, </t>
    </r>
    <r>
      <rPr>
        <sz val="10"/>
        <rFont val="Calibri"/>
        <family val="2"/>
      </rPr>
      <t>γ</t>
    </r>
    <r>
      <rPr>
        <vertAlign val="subscript"/>
        <sz val="10"/>
        <rFont val="Arial"/>
        <family val="2"/>
      </rPr>
      <t>mur</t>
    </r>
  </si>
  <si>
    <r>
      <t xml:space="preserve">Spesifikk tyngdetetthet foran mur, </t>
    </r>
    <r>
      <rPr>
        <sz val="10"/>
        <rFont val="Calibri"/>
        <family val="2"/>
      </rPr>
      <t>γ'</t>
    </r>
    <r>
      <rPr>
        <vertAlign val="subscript"/>
        <sz val="10"/>
        <rFont val="Arial"/>
        <family val="2"/>
      </rPr>
      <t>foran</t>
    </r>
  </si>
  <si>
    <t>Dimensjoner mur</t>
  </si>
  <si>
    <t>Murhøyde, H</t>
  </si>
  <si>
    <t>Fotdybde, D</t>
  </si>
  <si>
    <r>
      <t>Murbredde ved bunn, b</t>
    </r>
    <r>
      <rPr>
        <vertAlign val="subscript"/>
        <sz val="10"/>
        <rFont val="Arial"/>
        <family val="2"/>
      </rPr>
      <t>b</t>
    </r>
  </si>
  <si>
    <r>
      <t xml:space="preserve">Støpt såle </t>
    </r>
    <r>
      <rPr>
        <vertAlign val="superscript"/>
        <sz val="10"/>
        <rFont val="Arial"/>
        <family val="2"/>
      </rPr>
      <t>3)</t>
    </r>
  </si>
  <si>
    <t>Nei</t>
  </si>
  <si>
    <r>
      <t>Tillegg i murbredde ved bunn, b</t>
    </r>
    <r>
      <rPr>
        <vertAlign val="subscript"/>
        <sz val="10"/>
        <rFont val="Arial"/>
        <family val="2"/>
      </rPr>
      <t>x</t>
    </r>
  </si>
  <si>
    <r>
      <t>Murbredde ved topp, b</t>
    </r>
    <r>
      <rPr>
        <vertAlign val="subscript"/>
        <sz val="10"/>
        <rFont val="Arial"/>
        <family val="2"/>
      </rPr>
      <t>t</t>
    </r>
  </si>
  <si>
    <t>Murens helning, d</t>
  </si>
  <si>
    <t>Terrenghelning foran mur, 1/tan α</t>
  </si>
  <si>
    <r>
      <t>Ruhet bak muren, r</t>
    </r>
    <r>
      <rPr>
        <vertAlign val="subscript"/>
        <sz val="10"/>
        <rFont val="Arial"/>
        <family val="2"/>
      </rPr>
      <t>v</t>
    </r>
  </si>
  <si>
    <t>Beregning av jordtrykk og laster</t>
  </si>
  <si>
    <r>
      <t>Materialfaktor, γ</t>
    </r>
    <r>
      <rPr>
        <vertAlign val="subscript"/>
        <sz val="10"/>
        <rFont val="Arial"/>
        <family val="2"/>
      </rPr>
      <t>m</t>
    </r>
  </si>
  <si>
    <r>
      <t xml:space="preserve">Mob. friksjonsvinkel under mur, tan </t>
    </r>
    <r>
      <rPr>
        <sz val="10"/>
        <rFont val="Calibri"/>
        <family val="2"/>
      </rPr>
      <t>ρ</t>
    </r>
    <r>
      <rPr>
        <vertAlign val="subscript"/>
        <sz val="10"/>
        <rFont val="Arial"/>
        <family val="2"/>
      </rPr>
      <t>under</t>
    </r>
  </si>
  <si>
    <r>
      <t xml:space="preserve">Mob. friksjonsvinkel bak mur, tan </t>
    </r>
    <r>
      <rPr>
        <sz val="10"/>
        <rFont val="Calibri"/>
        <family val="2"/>
      </rPr>
      <t>ρ</t>
    </r>
    <r>
      <rPr>
        <vertAlign val="subscript"/>
        <sz val="10"/>
        <rFont val="Arial"/>
        <family val="2"/>
      </rPr>
      <t>bak</t>
    </r>
  </si>
  <si>
    <t>Hellende terreng bak mur, s</t>
  </si>
  <si>
    <t>Hellende terreng bak mur, t</t>
  </si>
  <si>
    <r>
      <t>Helning bakkant mur, d</t>
    </r>
    <r>
      <rPr>
        <vertAlign val="subscript"/>
        <sz val="10"/>
        <rFont val="Arial"/>
        <family val="2"/>
      </rPr>
      <t>b</t>
    </r>
  </si>
  <si>
    <r>
      <t>Helning mur for K</t>
    </r>
    <r>
      <rPr>
        <vertAlign val="subscript"/>
        <sz val="10"/>
        <rFont val="Arial"/>
        <family val="2"/>
      </rPr>
      <t>δ</t>
    </r>
    <r>
      <rPr>
        <sz val="10"/>
        <rFont val="Arial"/>
        <family val="2"/>
      </rPr>
      <t xml:space="preserve">-beregning, </t>
    </r>
    <r>
      <rPr>
        <sz val="10"/>
        <rFont val="Calibri"/>
        <family val="2"/>
      </rPr>
      <t>δ</t>
    </r>
  </si>
  <si>
    <t>Kontroll av helning:</t>
  </si>
  <si>
    <r>
      <t>Jordtrykkskoeffisient, K</t>
    </r>
    <r>
      <rPr>
        <vertAlign val="subscript"/>
        <sz val="10"/>
        <rFont val="Arial"/>
        <family val="2"/>
      </rPr>
      <t>A</t>
    </r>
  </si>
  <si>
    <r>
      <t>Korrigert jordtrykkskoeffisient, K</t>
    </r>
    <r>
      <rPr>
        <vertAlign val="subscript"/>
        <sz val="10"/>
        <rFont val="Arial"/>
        <family val="2"/>
      </rPr>
      <t>A,korr</t>
    </r>
  </si>
  <si>
    <r>
      <t>Korreksjon for hellende vegg, K</t>
    </r>
    <r>
      <rPr>
        <vertAlign val="subscript"/>
        <sz val="10"/>
        <rFont val="Calibri"/>
        <family val="2"/>
      </rPr>
      <t>δ</t>
    </r>
  </si>
  <si>
    <r>
      <t>Jordtrykksresultant, E</t>
    </r>
    <r>
      <rPr>
        <vertAlign val="subscript"/>
        <sz val="10"/>
        <rFont val="Arial"/>
        <family val="2"/>
      </rPr>
      <t>A</t>
    </r>
  </si>
  <si>
    <t>kN</t>
  </si>
  <si>
    <t>Vertikal skjærkraft, T</t>
  </si>
  <si>
    <t>Beregning av bæreevne</t>
  </si>
  <si>
    <r>
      <t>Egenvekt mur, G</t>
    </r>
    <r>
      <rPr>
        <vertAlign val="subscript"/>
        <sz val="10"/>
        <rFont val="Arial"/>
        <family val="2"/>
      </rPr>
      <t>V</t>
    </r>
  </si>
  <si>
    <t>Vertikalresultantens eksentrisitet, e</t>
  </si>
  <si>
    <r>
      <t>Bæreevnefaktor, N</t>
    </r>
    <r>
      <rPr>
        <vertAlign val="subscript"/>
        <sz val="10"/>
        <rFont val="Calibri"/>
        <family val="2"/>
      </rPr>
      <t>γ</t>
    </r>
  </si>
  <si>
    <r>
      <t>Total vertikalresultant, R</t>
    </r>
    <r>
      <rPr>
        <vertAlign val="subscript"/>
        <sz val="10"/>
        <rFont val="Arial"/>
        <family val="2"/>
      </rPr>
      <t>V</t>
    </r>
  </si>
  <si>
    <r>
      <t>Gjennomsnittlig vertikalspenning, q</t>
    </r>
    <r>
      <rPr>
        <vertAlign val="subscript"/>
        <sz val="10"/>
        <rFont val="Arial"/>
        <family val="2"/>
      </rPr>
      <t>V</t>
    </r>
  </si>
  <si>
    <r>
      <t>Bæreevnefaktor, N</t>
    </r>
    <r>
      <rPr>
        <vertAlign val="subscript"/>
        <sz val="10"/>
        <rFont val="Arial"/>
        <family val="2"/>
      </rPr>
      <t>q</t>
    </r>
  </si>
  <si>
    <r>
      <t>Total horisontalresultant, R</t>
    </r>
    <r>
      <rPr>
        <vertAlign val="subscript"/>
        <sz val="10"/>
        <rFont val="Arial"/>
        <family val="2"/>
      </rPr>
      <t>H</t>
    </r>
  </si>
  <si>
    <r>
      <t>Ruhet i fundamentfuge, r</t>
    </r>
    <r>
      <rPr>
        <vertAlign val="subscript"/>
        <sz val="10"/>
        <rFont val="Arial"/>
        <family val="2"/>
      </rPr>
      <t>b</t>
    </r>
  </si>
  <si>
    <r>
      <t>Reduksjonsfaktor skrånende terreng, f</t>
    </r>
    <r>
      <rPr>
        <vertAlign val="subscript"/>
        <sz val="10"/>
        <rFont val="Arial"/>
        <family val="2"/>
      </rPr>
      <t>sq</t>
    </r>
  </si>
  <si>
    <r>
      <t>Momentarm for jordtrykksresultant, c</t>
    </r>
    <r>
      <rPr>
        <vertAlign val="subscript"/>
        <sz val="10"/>
        <rFont val="Arial"/>
        <family val="2"/>
      </rPr>
      <t>1</t>
    </r>
  </si>
  <si>
    <r>
      <t>Krav til r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10"/>
        <rFont val="Calibri"/>
        <family val="2"/>
      </rPr>
      <t>≤</t>
    </r>
  </si>
  <si>
    <r>
      <t>Reduksjonsfaktor skrånende terreng, f</t>
    </r>
    <r>
      <rPr>
        <vertAlign val="subscript"/>
        <sz val="10"/>
        <rFont val="Arial"/>
        <family val="2"/>
      </rPr>
      <t>sa</t>
    </r>
  </si>
  <si>
    <r>
      <t>Momentarm for skjærkraft, c</t>
    </r>
    <r>
      <rPr>
        <vertAlign val="subscript"/>
        <sz val="10"/>
        <rFont val="Arial"/>
        <family val="2"/>
      </rPr>
      <t>2</t>
    </r>
  </si>
  <si>
    <r>
      <t>Effektiv fundamentbredde, b</t>
    </r>
    <r>
      <rPr>
        <vertAlign val="subscript"/>
        <sz val="10"/>
        <rFont val="Arial"/>
        <family val="2"/>
      </rPr>
      <t>0</t>
    </r>
  </si>
  <si>
    <r>
      <t xml:space="preserve">Overført fundamenttrykk, </t>
    </r>
    <r>
      <rPr>
        <sz val="10"/>
        <rFont val="Calibri"/>
        <family val="2"/>
      </rPr>
      <t>σ</t>
    </r>
    <r>
      <rPr>
        <vertAlign val="subscript"/>
        <sz val="10"/>
        <rFont val="Arial"/>
        <family val="2"/>
      </rPr>
      <t>V</t>
    </r>
  </si>
  <si>
    <r>
      <t>Momentarm for egenvekt mur, c</t>
    </r>
    <r>
      <rPr>
        <vertAlign val="subscript"/>
        <sz val="10"/>
        <rFont val="Arial"/>
        <family val="2"/>
      </rPr>
      <t>3</t>
    </r>
  </si>
  <si>
    <r>
      <t>Momentarm for vertikalresultant, c</t>
    </r>
    <r>
      <rPr>
        <vertAlign val="subscript"/>
        <sz val="10"/>
        <rFont val="Arial"/>
        <family val="2"/>
      </rPr>
      <t>4</t>
    </r>
  </si>
  <si>
    <r>
      <t>Momentarm for horisontalresultant, c</t>
    </r>
    <r>
      <rPr>
        <vertAlign val="subscript"/>
        <sz val="10"/>
        <rFont val="Arial"/>
        <family val="2"/>
      </rPr>
      <t>H</t>
    </r>
  </si>
  <si>
    <t>Dimensjonering av tørrmur i hht. SVV håndbok V220</t>
  </si>
  <si>
    <t>Utført av:</t>
  </si>
  <si>
    <t>Kontrollert av:</t>
  </si>
  <si>
    <t>Godkjent av:</t>
  </si>
  <si>
    <t>Prosjekt:</t>
  </si>
  <si>
    <t>Prosjektnummer:</t>
  </si>
  <si>
    <t>Revisjon nr.</t>
  </si>
  <si>
    <t>Revisjonsdato:</t>
  </si>
  <si>
    <t>Kunde:</t>
  </si>
  <si>
    <t>Bilag nr:</t>
  </si>
  <si>
    <t>Side nr.</t>
  </si>
  <si>
    <t>Rambøll Norge AS</t>
  </si>
  <si>
    <t>P.b. 9420 Torgarden</t>
  </si>
  <si>
    <t>7493 Trondheim</t>
  </si>
  <si>
    <t>Beregninger</t>
  </si>
  <si>
    <t>Mellomregninger:</t>
  </si>
  <si>
    <r>
      <t>Beregning av N</t>
    </r>
    <r>
      <rPr>
        <sz val="12"/>
        <rFont val="Symbol"/>
        <family val="1"/>
        <charset val="2"/>
      </rPr>
      <t>g</t>
    </r>
    <r>
      <rPr>
        <b/>
        <sz val="12"/>
        <rFont val="Arial"/>
        <family val="2"/>
      </rPr>
      <t xml:space="preserve"> etter BOSS-76:</t>
    </r>
  </si>
  <si>
    <r>
      <t>Krav til r</t>
    </r>
    <r>
      <rPr>
        <vertAlign val="subscript"/>
        <sz val="12"/>
        <rFont val="Arial"/>
        <family val="2"/>
      </rPr>
      <t xml:space="preserve">b </t>
    </r>
    <r>
      <rPr>
        <sz val="12"/>
        <rFont val="Arial"/>
        <family val="2"/>
      </rPr>
      <t>innfridd</t>
    </r>
  </si>
  <si>
    <r>
      <t>tan</t>
    </r>
    <r>
      <rPr>
        <sz val="11"/>
        <rFont val="Symbol"/>
        <family val="1"/>
        <charset val="2"/>
      </rPr>
      <t>r</t>
    </r>
  </si>
  <si>
    <r>
      <t xml:space="preserve">Krav til korrigert </t>
    </r>
    <r>
      <rPr>
        <sz val="12"/>
        <rFont val="Symbol"/>
        <family val="1"/>
        <charset val="2"/>
      </rPr>
      <t>s</t>
    </r>
    <r>
      <rPr>
        <vertAlign val="subscript"/>
        <sz val="12"/>
        <rFont val="Arial"/>
        <family val="2"/>
      </rPr>
      <t>v</t>
    </r>
    <r>
      <rPr>
        <sz val="12"/>
        <rFont val="Arial"/>
        <family val="2"/>
      </rPr>
      <t xml:space="preserve"> &gt; q</t>
    </r>
    <r>
      <rPr>
        <vertAlign val="subscript"/>
        <sz val="12"/>
        <rFont val="Arial"/>
        <family val="2"/>
      </rPr>
      <t>v</t>
    </r>
    <r>
      <rPr>
        <sz val="12"/>
        <rFont val="Arial"/>
        <family val="2"/>
      </rPr>
      <t xml:space="preserve"> innfridd</t>
    </r>
  </si>
  <si>
    <r>
      <t>ruhet, r</t>
    </r>
    <r>
      <rPr>
        <vertAlign val="subscript"/>
        <sz val="11"/>
        <rFont val="Arial"/>
        <family val="2"/>
      </rPr>
      <t>b</t>
    </r>
  </si>
  <si>
    <t>Samlet krav innfridd</t>
  </si>
  <si>
    <r>
      <t>tan</t>
    </r>
    <r>
      <rPr>
        <sz val="11"/>
        <rFont val="Symbol"/>
        <family val="1"/>
        <charset val="2"/>
      </rPr>
      <t>a</t>
    </r>
  </si>
  <si>
    <t>Jordtrykk</t>
  </si>
  <si>
    <t>Dybde</t>
  </si>
  <si>
    <r>
      <t>Krav til r</t>
    </r>
    <r>
      <rPr>
        <vertAlign val="subscript"/>
        <sz val="12"/>
        <rFont val="Arial"/>
        <family val="2"/>
      </rPr>
      <t>b</t>
    </r>
  </si>
  <si>
    <t>N</t>
  </si>
  <si>
    <r>
      <t>Vertikalt jordtrykk ved murtopp, p'</t>
    </r>
    <r>
      <rPr>
        <vertAlign val="subscript"/>
        <sz val="10"/>
        <rFont val="Arial"/>
        <family val="2"/>
      </rPr>
      <t>v1</t>
    </r>
  </si>
  <si>
    <r>
      <t>j</t>
    </r>
    <r>
      <rPr>
        <vertAlign val="subscript"/>
        <sz val="12"/>
        <rFont val="Arial"/>
        <family val="2"/>
      </rPr>
      <t>bak</t>
    </r>
  </si>
  <si>
    <r>
      <t xml:space="preserve">r </t>
    </r>
    <r>
      <rPr>
        <sz val="11"/>
        <rFont val="Arial"/>
        <family val="2"/>
      </rPr>
      <t>(rad)</t>
    </r>
  </si>
  <si>
    <r>
      <t>Vertikalt jordtrykk ved D</t>
    </r>
    <r>
      <rPr>
        <vertAlign val="subscript"/>
        <sz val="10"/>
        <rFont val="Arial"/>
        <family val="2"/>
      </rPr>
      <t>GV</t>
    </r>
    <r>
      <rPr>
        <sz val="10"/>
        <rFont val="Arial"/>
        <family val="2"/>
      </rPr>
      <t>, 'p'</t>
    </r>
    <r>
      <rPr>
        <vertAlign val="subscript"/>
        <sz val="10"/>
        <rFont val="Arial"/>
        <family val="2"/>
      </rPr>
      <t>v2</t>
    </r>
  </si>
  <si>
    <r>
      <t>Ikke i bruk for tørrmur (D</t>
    </r>
    <r>
      <rPr>
        <vertAlign val="subscript"/>
        <sz val="10"/>
        <rFont val="Arial"/>
        <family val="2"/>
      </rPr>
      <t>GV</t>
    </r>
    <r>
      <rPr>
        <sz val="10"/>
        <rFont val="Arial"/>
        <family val="2"/>
      </rPr>
      <t>=H)</t>
    </r>
  </si>
  <si>
    <r>
      <t>tan</t>
    </r>
    <r>
      <rPr>
        <sz val="14"/>
        <rFont val="Symbol"/>
        <family val="1"/>
        <charset val="2"/>
      </rPr>
      <t>j</t>
    </r>
    <r>
      <rPr>
        <vertAlign val="subscript"/>
        <sz val="12"/>
        <rFont val="Arial"/>
        <family val="2"/>
      </rPr>
      <t>bak</t>
    </r>
  </si>
  <si>
    <r>
      <t>K</t>
    </r>
    <r>
      <rPr>
        <vertAlign val="subscript"/>
        <sz val="11"/>
        <rFont val="Arial"/>
        <family val="2"/>
      </rPr>
      <t>p</t>
    </r>
  </si>
  <si>
    <r>
      <t>Vertikalt jordtrykk ved 5m dybde, p'</t>
    </r>
    <r>
      <rPr>
        <vertAlign val="subscript"/>
        <sz val="10"/>
        <rFont val="Arial"/>
        <family val="2"/>
      </rPr>
      <t>v3</t>
    </r>
  </si>
  <si>
    <r>
      <t>j</t>
    </r>
    <r>
      <rPr>
        <vertAlign val="subscript"/>
        <sz val="12"/>
        <rFont val="Arial"/>
        <family val="2"/>
      </rPr>
      <t>under</t>
    </r>
  </si>
  <si>
    <r>
      <t>X</t>
    </r>
    <r>
      <rPr>
        <vertAlign val="subscript"/>
        <sz val="11"/>
        <rFont val="Arial"/>
        <family val="2"/>
      </rPr>
      <t>0</t>
    </r>
  </si>
  <si>
    <r>
      <t>Vertikalt jordtrykk ved murfundament, p'</t>
    </r>
    <r>
      <rPr>
        <vertAlign val="subscript"/>
        <sz val="10"/>
        <rFont val="Arial"/>
        <family val="2"/>
      </rPr>
      <t>v4</t>
    </r>
  </si>
  <si>
    <r>
      <t>tan</t>
    </r>
    <r>
      <rPr>
        <sz val="14"/>
        <rFont val="Symbol"/>
        <family val="1"/>
        <charset val="2"/>
      </rPr>
      <t>j</t>
    </r>
    <r>
      <rPr>
        <vertAlign val="subscript"/>
        <sz val="12"/>
        <rFont val="Arial"/>
        <family val="2"/>
      </rPr>
      <t>under</t>
    </r>
  </si>
  <si>
    <r>
      <t>X</t>
    </r>
    <r>
      <rPr>
        <b/>
        <vertAlign val="subscript"/>
        <sz val="10"/>
        <rFont val="Arial"/>
        <family val="2"/>
      </rPr>
      <t>0</t>
    </r>
  </si>
  <si>
    <t>tanpsi</t>
  </si>
  <si>
    <t>psi</t>
  </si>
  <si>
    <t>c</t>
  </si>
  <si>
    <t>Rot</t>
  </si>
  <si>
    <r>
      <t>X</t>
    </r>
    <r>
      <rPr>
        <b/>
        <vertAlign val="subscript"/>
        <sz val="10"/>
        <rFont val="Arial"/>
        <family val="2"/>
      </rPr>
      <t>c</t>
    </r>
  </si>
  <si>
    <t>Diff</t>
  </si>
  <si>
    <r>
      <t>N</t>
    </r>
    <r>
      <rPr>
        <b/>
        <vertAlign val="subscript"/>
        <sz val="12"/>
        <rFont val="Symbol"/>
        <family val="1"/>
        <charset val="2"/>
      </rPr>
      <t>g</t>
    </r>
  </si>
  <si>
    <r>
      <t>B=K</t>
    </r>
    <r>
      <rPr>
        <vertAlign val="subscript"/>
        <sz val="14"/>
        <rFont val="Arial"/>
        <family val="2"/>
      </rPr>
      <t>Akorr</t>
    </r>
    <r>
      <rPr>
        <sz val="12"/>
        <rFont val="Arial"/>
        <family val="2"/>
      </rPr>
      <t xml:space="preserve">(p+a)-a </t>
    </r>
  </si>
  <si>
    <t>gammel</t>
  </si>
  <si>
    <t>B settes lik 0 dersom den er mindre enn 0</t>
  </si>
  <si>
    <r>
      <t>Kontroll K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>,</t>
    </r>
    <r>
      <rPr>
        <vertAlign val="subscript"/>
        <sz val="12"/>
        <rFont val="Arial"/>
        <family val="2"/>
      </rPr>
      <t>korr</t>
    </r>
    <r>
      <rPr>
        <sz val="12"/>
        <rFont val="Arial"/>
        <family val="2"/>
      </rPr>
      <t xml:space="preserve"> * (q</t>
    </r>
    <r>
      <rPr>
        <sz val="12"/>
        <rFont val="GreekS"/>
      </rPr>
      <t>g</t>
    </r>
    <r>
      <rPr>
        <sz val="12"/>
        <rFont val="Arial"/>
        <family val="2"/>
      </rPr>
      <t xml:space="preserve">+a)-a </t>
    </r>
  </si>
  <si>
    <r>
      <t>Horionstallast, p</t>
    </r>
    <r>
      <rPr>
        <vertAlign val="subscript"/>
        <sz val="10"/>
        <rFont val="Arial"/>
        <family val="2"/>
      </rPr>
      <t>H</t>
    </r>
  </si>
  <si>
    <r>
      <t>E</t>
    </r>
    <r>
      <rPr>
        <vertAlign val="subscript"/>
        <sz val="14"/>
        <rFont val="Arial"/>
        <family val="2"/>
      </rPr>
      <t xml:space="preserve">a  </t>
    </r>
    <r>
      <rPr>
        <sz val="12"/>
        <rFont val="Arial"/>
        <family val="2"/>
      </rPr>
      <t>(B&lt;=0)</t>
    </r>
  </si>
  <si>
    <r>
      <t>K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>,</t>
    </r>
    <r>
      <rPr>
        <vertAlign val="subscript"/>
        <sz val="12"/>
        <rFont val="Arial"/>
        <family val="2"/>
      </rPr>
      <t>korr</t>
    </r>
    <r>
      <rPr>
        <sz val="12"/>
        <rFont val="Arial"/>
        <family val="2"/>
      </rPr>
      <t xml:space="preserve"> * (q</t>
    </r>
    <r>
      <rPr>
        <sz val="12"/>
        <rFont val="GreekS"/>
      </rPr>
      <t>g</t>
    </r>
    <r>
      <rPr>
        <sz val="12"/>
        <rFont val="Arial"/>
        <family val="2"/>
      </rPr>
      <t xml:space="preserve">+a)-a </t>
    </r>
  </si>
  <si>
    <t>test om strekk i topp</t>
  </si>
  <si>
    <r>
      <t>Momentarm, y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+H</t>
    </r>
  </si>
  <si>
    <r>
      <t>c</t>
    </r>
    <r>
      <rPr>
        <vertAlign val="subscript"/>
        <sz val="14"/>
        <rFont val="Arial"/>
        <family val="2"/>
      </rPr>
      <t xml:space="preserve">1  </t>
    </r>
    <r>
      <rPr>
        <sz val="12"/>
        <rFont val="Arial"/>
        <family val="2"/>
      </rPr>
      <t>(B&lt;=0)</t>
    </r>
  </si>
  <si>
    <t>Tilfelle 1 (H&gt;5 meter, uten teoretisk strekk)</t>
  </si>
  <si>
    <r>
      <t>E</t>
    </r>
    <r>
      <rPr>
        <vertAlign val="subscript"/>
        <sz val="14"/>
        <rFont val="Arial"/>
        <family val="2"/>
      </rPr>
      <t xml:space="preserve">a  </t>
    </r>
    <r>
      <rPr>
        <sz val="12"/>
        <rFont val="Arial"/>
        <family val="2"/>
      </rPr>
      <t>(B&gt;0)</t>
    </r>
  </si>
  <si>
    <r>
      <t>K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>,</t>
    </r>
    <r>
      <rPr>
        <vertAlign val="subscript"/>
        <sz val="12"/>
        <rFont val="Arial"/>
        <family val="2"/>
      </rPr>
      <t>korr</t>
    </r>
    <r>
      <rPr>
        <sz val="12"/>
        <rFont val="Arial"/>
        <family val="2"/>
      </rPr>
      <t xml:space="preserve"> * (q</t>
    </r>
    <r>
      <rPr>
        <sz val="12"/>
        <rFont val="GreekS"/>
      </rPr>
      <t>g</t>
    </r>
    <r>
      <rPr>
        <sz val="12"/>
        <rFont val="Arial"/>
        <family val="2"/>
      </rPr>
      <t>+a)-a &gt; 0 og H &gt; 5 m</t>
    </r>
  </si>
  <si>
    <r>
      <t>c</t>
    </r>
    <r>
      <rPr>
        <vertAlign val="subscript"/>
        <sz val="14"/>
        <rFont val="Arial"/>
        <family val="2"/>
      </rPr>
      <t xml:space="preserve">1  </t>
    </r>
    <r>
      <rPr>
        <sz val="12"/>
        <rFont val="Arial"/>
        <family val="2"/>
      </rPr>
      <t>(B&gt;0)</t>
    </r>
  </si>
  <si>
    <r>
      <t>Benyttet E</t>
    </r>
    <r>
      <rPr>
        <vertAlign val="subscript"/>
        <sz val="14"/>
        <rFont val="Arial"/>
        <family val="2"/>
      </rPr>
      <t>a</t>
    </r>
  </si>
  <si>
    <t>revidert</t>
  </si>
  <si>
    <r>
      <t>Momentarm, c</t>
    </r>
    <r>
      <rPr>
        <vertAlign val="subscript"/>
        <sz val="10"/>
        <rFont val="Arial"/>
        <family val="2"/>
      </rPr>
      <t>1</t>
    </r>
  </si>
  <si>
    <r>
      <t>Benyttet c</t>
    </r>
    <r>
      <rPr>
        <vertAlign val="subscript"/>
        <sz val="14"/>
        <rFont val="Arial"/>
        <family val="2"/>
      </rPr>
      <t>1</t>
    </r>
  </si>
  <si>
    <r>
      <t>Horisontalresultant, R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 xml:space="preserve">   (E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>+P</t>
    </r>
    <r>
      <rPr>
        <vertAlign val="subscript"/>
        <sz val="10"/>
        <rFont val="Arial"/>
        <family val="2"/>
      </rPr>
      <t>H</t>
    </r>
    <r>
      <rPr>
        <sz val="10"/>
        <rFont val="Arial"/>
        <family val="2"/>
      </rPr>
      <t>)</t>
    </r>
  </si>
  <si>
    <r>
      <t>Momentarm. c</t>
    </r>
    <r>
      <rPr>
        <vertAlign val="subscript"/>
        <sz val="10"/>
        <rFont val="Arial"/>
        <family val="2"/>
      </rPr>
      <t>H</t>
    </r>
  </si>
  <si>
    <r>
      <t>Benyttet R</t>
    </r>
    <r>
      <rPr>
        <vertAlign val="subscript"/>
        <sz val="12"/>
        <rFont val="Arial"/>
        <family val="2"/>
      </rPr>
      <t>H</t>
    </r>
  </si>
  <si>
    <r>
      <t>Benyttet c</t>
    </r>
    <r>
      <rPr>
        <vertAlign val="subscript"/>
        <sz val="12"/>
        <rFont val="Arial"/>
        <family val="2"/>
      </rPr>
      <t>H</t>
    </r>
  </si>
  <si>
    <t>Tilfelle 2 (H&gt;5 meter, med teoretisk strekk)</t>
  </si>
  <si>
    <t>Benyttet T</t>
  </si>
  <si>
    <r>
      <t>K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>,</t>
    </r>
    <r>
      <rPr>
        <vertAlign val="subscript"/>
        <sz val="12"/>
        <rFont val="Arial"/>
        <family val="2"/>
      </rPr>
      <t>korr</t>
    </r>
    <r>
      <rPr>
        <sz val="12"/>
        <rFont val="Arial"/>
        <family val="2"/>
      </rPr>
      <t xml:space="preserve"> * (q</t>
    </r>
    <r>
      <rPr>
        <sz val="12"/>
        <rFont val="GreekS"/>
      </rPr>
      <t>g</t>
    </r>
    <r>
      <rPr>
        <sz val="12"/>
        <rFont val="Arial"/>
        <family val="2"/>
      </rPr>
      <t>+a)-a &lt;= 0 og H &gt; 5 m</t>
    </r>
  </si>
  <si>
    <r>
      <t>Momentarm vertikallast, c</t>
    </r>
    <r>
      <rPr>
        <vertAlign val="subscript"/>
        <sz val="12"/>
        <rFont val="Arial"/>
        <family val="2"/>
      </rPr>
      <t>Pv</t>
    </r>
  </si>
  <si>
    <r>
      <t>Nullspenningsdybde, z</t>
    </r>
    <r>
      <rPr>
        <vertAlign val="subscript"/>
        <sz val="10"/>
        <rFont val="Arial"/>
        <family val="2"/>
      </rPr>
      <t>0</t>
    </r>
  </si>
  <si>
    <t>s for jordtrykk (settes til 0 for flatt terreng bak)</t>
  </si>
  <si>
    <r>
      <rPr>
        <sz val="12"/>
        <rFont val="Calibri"/>
        <family val="2"/>
      </rPr>
      <t>ω</t>
    </r>
    <r>
      <rPr>
        <vertAlign val="subscript"/>
        <sz val="12"/>
        <rFont val="Arial"/>
        <family val="2"/>
      </rPr>
      <t>a</t>
    </r>
  </si>
  <si>
    <t>p</t>
  </si>
  <si>
    <r>
      <t>r</t>
    </r>
    <r>
      <rPr>
        <vertAlign val="subscript"/>
        <sz val="12"/>
        <rFont val="Arial"/>
        <family val="2"/>
      </rPr>
      <t>v</t>
    </r>
    <r>
      <rPr>
        <sz val="12"/>
        <rFont val="Arial"/>
        <family val="2"/>
      </rPr>
      <t xml:space="preserve"> (for jordtrykk)</t>
    </r>
  </si>
  <si>
    <t>Tilfelle 3 (H&lt;5 meter, uten teoretisk strekk)</t>
  </si>
  <si>
    <r>
      <t>r</t>
    </r>
    <r>
      <rPr>
        <vertAlign val="subscript"/>
        <sz val="12"/>
        <rFont val="Arial"/>
        <family val="2"/>
      </rPr>
      <t>b</t>
    </r>
    <r>
      <rPr>
        <sz val="12"/>
        <rFont val="Arial"/>
        <family val="2"/>
      </rPr>
      <t xml:space="preserve"> (for bæreevne)</t>
    </r>
  </si>
  <si>
    <t>NB!</t>
  </si>
  <si>
    <r>
      <t>K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>,</t>
    </r>
    <r>
      <rPr>
        <vertAlign val="subscript"/>
        <sz val="12"/>
        <rFont val="Arial"/>
        <family val="2"/>
      </rPr>
      <t>korr</t>
    </r>
    <r>
      <rPr>
        <sz val="12"/>
        <rFont val="Arial"/>
        <family val="2"/>
      </rPr>
      <t xml:space="preserve"> * (q</t>
    </r>
    <r>
      <rPr>
        <sz val="12"/>
        <rFont val="GreekS"/>
      </rPr>
      <t>g</t>
    </r>
    <r>
      <rPr>
        <sz val="12"/>
        <rFont val="Arial"/>
        <family val="2"/>
      </rPr>
      <t>+a)-a &gt; 0 og H &lt;= 5 m</t>
    </r>
  </si>
  <si>
    <t>t (for jordtrykk)</t>
  </si>
  <si>
    <r>
      <t>tan</t>
    </r>
    <r>
      <rPr>
        <sz val="14"/>
        <rFont val="Symbol"/>
        <family val="1"/>
        <charset val="2"/>
      </rPr>
      <t>r</t>
    </r>
    <r>
      <rPr>
        <sz val="12"/>
        <rFont val="Symbol"/>
        <family val="1"/>
        <charset val="2"/>
      </rPr>
      <t xml:space="preserve"> </t>
    </r>
    <r>
      <rPr>
        <sz val="12"/>
        <rFont val="Arial"/>
        <family val="2"/>
      </rPr>
      <t>for jordtrykk bak mur</t>
    </r>
  </si>
  <si>
    <r>
      <t>r</t>
    </r>
    <r>
      <rPr>
        <vertAlign val="subscript"/>
        <sz val="12"/>
        <rFont val="Arial"/>
        <family val="2"/>
      </rPr>
      <t>bak</t>
    </r>
  </si>
  <si>
    <r>
      <t xml:space="preserve">Effekt av økt attraksjon ved </t>
    </r>
    <r>
      <rPr>
        <sz val="10"/>
        <rFont val="Calibri"/>
        <family val="2"/>
      </rPr>
      <t>β</t>
    </r>
    <r>
      <rPr>
        <sz val="10"/>
        <rFont val="Arial"/>
        <family val="2"/>
      </rPr>
      <t>&gt;0</t>
    </r>
  </si>
  <si>
    <t>Ja</t>
  </si>
  <si>
    <t>Reduksjonsfaktorer for hellende terreng (D)</t>
  </si>
  <si>
    <t>True/false</t>
  </si>
  <si>
    <r>
      <t xml:space="preserve">tan </t>
    </r>
    <r>
      <rPr>
        <sz val="12"/>
        <rFont val="Symbol"/>
        <family val="1"/>
        <charset val="2"/>
      </rPr>
      <t>b</t>
    </r>
  </si>
  <si>
    <t>Håndbok 016 kap. 6.2  2010 utgaven</t>
  </si>
  <si>
    <t>Tilfelle 4 (H&lt;5 meter, med teoretisk strekk)</t>
  </si>
  <si>
    <r>
      <t>tan</t>
    </r>
    <r>
      <rPr>
        <sz val="14"/>
        <rFont val="Symbol"/>
        <family val="1"/>
        <charset val="2"/>
      </rPr>
      <t>r</t>
    </r>
    <r>
      <rPr>
        <sz val="12"/>
        <rFont val="Symbol"/>
        <family val="1"/>
        <charset val="2"/>
      </rPr>
      <t xml:space="preserve"> </t>
    </r>
    <r>
      <rPr>
        <sz val="12"/>
        <rFont val="Arial"/>
        <family val="2"/>
      </rPr>
      <t>for bæreevne under mur</t>
    </r>
  </si>
  <si>
    <r>
      <t>K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>,</t>
    </r>
    <r>
      <rPr>
        <vertAlign val="subscript"/>
        <sz val="12"/>
        <rFont val="Arial"/>
        <family val="2"/>
      </rPr>
      <t>korr</t>
    </r>
    <r>
      <rPr>
        <sz val="12"/>
        <rFont val="Arial"/>
        <family val="2"/>
      </rPr>
      <t xml:space="preserve"> * (q</t>
    </r>
    <r>
      <rPr>
        <sz val="12"/>
        <rFont val="GreekS"/>
      </rPr>
      <t>g</t>
    </r>
    <r>
      <rPr>
        <sz val="12"/>
        <rFont val="Arial"/>
        <family val="2"/>
      </rPr>
      <t>+a)-a &lt;= 0 og H &lt;= 5 m</t>
    </r>
  </si>
  <si>
    <r>
      <t>r</t>
    </r>
    <r>
      <rPr>
        <vertAlign val="subscript"/>
        <sz val="12"/>
        <rFont val="Arial"/>
        <family val="2"/>
      </rPr>
      <t>under</t>
    </r>
  </si>
  <si>
    <r>
      <t>f</t>
    </r>
    <r>
      <rPr>
        <vertAlign val="subscript"/>
        <sz val="14"/>
        <rFont val="Arial"/>
        <family val="2"/>
      </rPr>
      <t>sa</t>
    </r>
  </si>
  <si>
    <r>
      <t>f</t>
    </r>
    <r>
      <rPr>
        <vertAlign val="subscript"/>
        <sz val="14"/>
        <rFont val="Arial"/>
        <family val="2"/>
      </rPr>
      <t>sq</t>
    </r>
  </si>
  <si>
    <t>b</t>
  </si>
  <si>
    <r>
      <t>r</t>
    </r>
    <r>
      <rPr>
        <vertAlign val="subscript"/>
        <sz val="12"/>
        <rFont val="Arial"/>
        <family val="2"/>
      </rPr>
      <t>under</t>
    </r>
    <r>
      <rPr>
        <sz val="12"/>
        <rFont val="Symbol"/>
        <family val="1"/>
        <charset val="2"/>
      </rPr>
      <t xml:space="preserve"> </t>
    </r>
    <r>
      <rPr>
        <sz val="12"/>
        <rFont val="Arial"/>
        <family val="2"/>
      </rPr>
      <t>i radianer</t>
    </r>
  </si>
  <si>
    <t>0.0-0.3</t>
  </si>
  <si>
    <r>
      <t>f</t>
    </r>
    <r>
      <rPr>
        <vertAlign val="subscript"/>
        <sz val="12"/>
        <rFont val="Symbol"/>
        <family val="1"/>
        <charset val="2"/>
      </rPr>
      <t>w</t>
    </r>
  </si>
  <si>
    <t>0.3-0.4</t>
  </si>
  <si>
    <t>w</t>
  </si>
  <si>
    <t>0.4-0.5</t>
  </si>
  <si>
    <r>
      <t>w</t>
    </r>
    <r>
      <rPr>
        <sz val="12"/>
        <rFont val="Arial"/>
        <family val="2"/>
      </rPr>
      <t xml:space="preserve"> i radianer</t>
    </r>
  </si>
  <si>
    <t>0.5-0.6</t>
  </si>
  <si>
    <r>
      <t>Valgt jordtrykksresultant, E</t>
    </r>
    <r>
      <rPr>
        <b/>
        <vertAlign val="subscript"/>
        <sz val="10"/>
        <rFont val="Arial"/>
        <family val="2"/>
      </rPr>
      <t>A</t>
    </r>
  </si>
  <si>
    <r>
      <t>Momentarm, c</t>
    </r>
    <r>
      <rPr>
        <b/>
        <vertAlign val="subscript"/>
        <sz val="10"/>
        <rFont val="Arial"/>
        <family val="2"/>
      </rPr>
      <t>1</t>
    </r>
  </si>
  <si>
    <t xml:space="preserve">0.6-0.7 </t>
  </si>
  <si>
    <r>
      <t>Valgt horisontalresultant, R</t>
    </r>
    <r>
      <rPr>
        <b/>
        <vertAlign val="subscript"/>
        <sz val="10"/>
        <rFont val="Arial"/>
        <family val="2"/>
      </rPr>
      <t>H</t>
    </r>
  </si>
  <si>
    <r>
      <t>Momentarm. c</t>
    </r>
    <r>
      <rPr>
        <b/>
        <vertAlign val="subscript"/>
        <sz val="10"/>
        <rFont val="Arial"/>
        <family val="2"/>
      </rPr>
      <t>H</t>
    </r>
  </si>
  <si>
    <r>
      <t>tan</t>
    </r>
    <r>
      <rPr>
        <sz val="14"/>
        <rFont val="Symbol"/>
        <family val="1"/>
        <charset val="2"/>
      </rPr>
      <t>a</t>
    </r>
  </si>
  <si>
    <t>0.7-0.75</t>
  </si>
  <si>
    <t>Valgt skjærkraft, T</t>
  </si>
  <si>
    <t>a</t>
  </si>
  <si>
    <t>&gt; 0.75</t>
  </si>
  <si>
    <r>
      <t>a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 xml:space="preserve"> i radianer</t>
    </r>
  </si>
  <si>
    <t>SAMLET</t>
  </si>
  <si>
    <t>s for bæreevne (helning nedenfor mur)</t>
  </si>
  <si>
    <r>
      <t>f</t>
    </r>
    <r>
      <rPr>
        <vertAlign val="subscript"/>
        <sz val="12"/>
        <rFont val="Symbol"/>
        <family val="1"/>
        <charset val="2"/>
      </rPr>
      <t>h</t>
    </r>
  </si>
  <si>
    <t>NY KONTROLL</t>
  </si>
  <si>
    <t>bb+bx</t>
  </si>
  <si>
    <t>e</t>
  </si>
  <si>
    <r>
      <t>h</t>
    </r>
    <r>
      <rPr>
        <sz val="12"/>
        <rFont val="Symbol"/>
        <family val="1"/>
        <charset val="2"/>
      </rPr>
      <t xml:space="preserve"> </t>
    </r>
    <r>
      <rPr>
        <sz val="12"/>
        <rFont val="Arial"/>
        <family val="2"/>
      </rPr>
      <t>i radianer  (tan</t>
    </r>
    <r>
      <rPr>
        <sz val="14"/>
        <rFont val="Symbol"/>
        <family val="1"/>
        <charset val="2"/>
      </rPr>
      <t>h</t>
    </r>
    <r>
      <rPr>
        <sz val="10.199999999999999"/>
        <rFont val="Arial"/>
        <family val="2"/>
      </rPr>
      <t>=</t>
    </r>
    <r>
      <rPr>
        <sz val="12"/>
        <rFont val="Arial"/>
        <family val="2"/>
      </rPr>
      <t>f</t>
    </r>
    <r>
      <rPr>
        <sz val="10.199999999999999"/>
        <rFont val="Symbol"/>
        <family val="1"/>
        <charset val="2"/>
      </rPr>
      <t xml:space="preserve">h </t>
    </r>
    <r>
      <rPr>
        <sz val="12"/>
        <rFont val="Arial"/>
        <family val="2"/>
      </rPr>
      <t>tan</t>
    </r>
    <r>
      <rPr>
        <sz val="14"/>
        <rFont val="Symbol"/>
        <family val="1"/>
        <charset val="2"/>
      </rPr>
      <t>a</t>
    </r>
    <r>
      <rPr>
        <vertAlign val="subscript"/>
        <sz val="10"/>
        <rFont val="Arial"/>
        <family val="2"/>
      </rPr>
      <t>A</t>
    </r>
    <r>
      <rPr>
        <sz val="12"/>
        <rFont val="Arial"/>
        <family val="2"/>
      </rPr>
      <t>)</t>
    </r>
  </si>
  <si>
    <r>
      <t>b</t>
    </r>
    <r>
      <rPr>
        <vertAlign val="subscript"/>
        <sz val="11"/>
        <rFont val="Arial"/>
        <family val="2"/>
      </rPr>
      <t>x</t>
    </r>
    <r>
      <rPr>
        <sz val="11"/>
        <rFont val="Arial"/>
        <family val="2"/>
      </rPr>
      <t xml:space="preserve"> tas kun med dersom eksentrisiteten, e er negativ </t>
    </r>
  </si>
  <si>
    <r>
      <t>Beregning av K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>/K</t>
    </r>
    <r>
      <rPr>
        <vertAlign val="subscript"/>
        <sz val="12"/>
        <rFont val="Calibri"/>
        <family val="2"/>
      </rPr>
      <t>βA</t>
    </r>
  </si>
  <si>
    <t>Kontroll e bør være</t>
  </si>
  <si>
    <r>
      <t>Beregning av N</t>
    </r>
    <r>
      <rPr>
        <vertAlign val="subscript"/>
        <sz val="12"/>
        <rFont val="Arial"/>
        <family val="2"/>
      </rPr>
      <t>q</t>
    </r>
  </si>
  <si>
    <r>
      <t>Beregning av N</t>
    </r>
    <r>
      <rPr>
        <vertAlign val="subscript"/>
        <sz val="12"/>
        <rFont val="Symbol"/>
        <family val="1"/>
        <charset val="2"/>
      </rPr>
      <t>g</t>
    </r>
  </si>
  <si>
    <t>Forenklet beregning iht. figur 9.7</t>
  </si>
  <si>
    <r>
      <t>Beregning av f</t>
    </r>
    <r>
      <rPr>
        <vertAlign val="subscript"/>
        <sz val="12"/>
        <rFont val="Arial"/>
        <family val="2"/>
      </rPr>
      <t xml:space="preserve">sq </t>
    </r>
    <r>
      <rPr>
        <sz val="12"/>
        <rFont val="Arial"/>
        <family val="2"/>
      </rPr>
      <t>(og kontrollert for flatt terreng)</t>
    </r>
  </si>
  <si>
    <t xml:space="preserve">Dersom db &lt; 0 gjelder ikke korrigering for Kd. </t>
  </si>
  <si>
    <r>
      <t>Beregning av f</t>
    </r>
    <r>
      <rPr>
        <vertAlign val="subscript"/>
        <sz val="12"/>
        <rFont val="Arial"/>
        <family val="2"/>
      </rPr>
      <t xml:space="preserve">sa </t>
    </r>
    <r>
      <rPr>
        <sz val="12"/>
        <rFont val="Arial"/>
        <family val="2"/>
      </rPr>
      <t>(og kontrollert for flatt terreng)</t>
    </r>
  </si>
  <si>
    <t>Forenklet settes db = 0 og Kd = 1.</t>
  </si>
  <si>
    <t>Murens vekt Gv med antatt vert. Vegg</t>
  </si>
  <si>
    <r>
      <t>Beregning av maks b</t>
    </r>
    <r>
      <rPr>
        <vertAlign val="subscript"/>
        <sz val="12"/>
        <rFont val="Arial"/>
        <family val="2"/>
      </rPr>
      <t>0</t>
    </r>
  </si>
  <si>
    <t>Revidert 01.03.2013/hermab</t>
  </si>
  <si>
    <r>
      <t>Samlet b</t>
    </r>
    <r>
      <rPr>
        <vertAlign val="subscript"/>
        <sz val="12"/>
        <rFont val="Arial"/>
        <family val="2"/>
      </rPr>
      <t>0</t>
    </r>
  </si>
  <si>
    <t>Støpt såle</t>
  </si>
  <si>
    <r>
      <t>Krav til b</t>
    </r>
    <r>
      <rPr>
        <vertAlign val="subscript"/>
        <sz val="8"/>
        <rFont val="Arial"/>
        <family val="2"/>
      </rPr>
      <t>0</t>
    </r>
    <r>
      <rPr>
        <sz val="8"/>
        <rFont val="Arial"/>
        <family val="2"/>
      </rPr>
      <t xml:space="preserve"> (andel ≥</t>
    </r>
    <r>
      <rPr>
        <vertAlign val="subscript"/>
        <sz val="8"/>
        <rFont val="Arial"/>
        <family val="2"/>
      </rPr>
      <t xml:space="preserve"> </t>
    </r>
    <r>
      <rPr>
        <sz val="8"/>
        <rFont val="Arial"/>
        <family val="2"/>
      </rPr>
      <t>b/3)</t>
    </r>
  </si>
  <si>
    <r>
      <t>Krav til b</t>
    </r>
    <r>
      <rPr>
        <vertAlign val="subscript"/>
        <sz val="8"/>
        <rFont val="Arial"/>
        <family val="2"/>
      </rPr>
      <t>0</t>
    </r>
    <r>
      <rPr>
        <sz val="8"/>
        <rFont val="Arial"/>
        <family val="2"/>
      </rPr>
      <t xml:space="preserve"> (andel ≥ 0.3</t>
    </r>
    <r>
      <rPr>
        <sz val="8"/>
        <rFont val="Calibri"/>
        <family val="2"/>
      </rPr>
      <t>∙</t>
    </r>
    <r>
      <rPr>
        <sz val="8"/>
        <rFont val="Arial"/>
        <family val="2"/>
      </rPr>
      <t>b)</t>
    </r>
  </si>
  <si>
    <t>Nq</t>
  </si>
  <si>
    <t>Korrigert jordtrykkskoeffisient for hellende vegg</t>
  </si>
  <si>
    <t>Helning av bakkant mur i radianer</t>
  </si>
  <si>
    <t>Helning av bakkant mur i grader</t>
  </si>
  <si>
    <r>
      <t xml:space="preserve">Vinkel </t>
    </r>
    <r>
      <rPr>
        <sz val="16"/>
        <rFont val="Symbol"/>
        <family val="1"/>
        <charset val="2"/>
      </rPr>
      <t>d</t>
    </r>
    <r>
      <rPr>
        <sz val="12"/>
        <rFont val="Arial"/>
        <family val="2"/>
      </rPr>
      <t xml:space="preserve"> i grader</t>
    </r>
  </si>
  <si>
    <t>Mobilisert friksjonsvinkel bak mur i grader</t>
  </si>
  <si>
    <r>
      <t xml:space="preserve">Vinkel </t>
    </r>
    <r>
      <rPr>
        <sz val="14"/>
        <rFont val="Symbol"/>
        <family val="1"/>
        <charset val="2"/>
      </rPr>
      <t>d</t>
    </r>
    <r>
      <rPr>
        <sz val="12"/>
        <rFont val="Arial"/>
        <family val="2"/>
      </rPr>
      <t xml:space="preserve"> i radianer</t>
    </r>
  </si>
  <si>
    <t>Mobilisert friksjonsvinkel bak mur i radianer</t>
  </si>
  <si>
    <r>
      <t>K</t>
    </r>
    <r>
      <rPr>
        <vertAlign val="subscript"/>
        <sz val="16"/>
        <rFont val="Symbol"/>
        <family val="1"/>
        <charset val="2"/>
      </rPr>
      <t>d</t>
    </r>
    <r>
      <rPr>
        <vertAlign val="subscript"/>
        <sz val="14"/>
        <rFont val="Symbol"/>
        <family val="1"/>
        <charset val="2"/>
      </rPr>
      <t xml:space="preserve"> </t>
    </r>
    <r>
      <rPr>
        <sz val="12"/>
        <rFont val="Arial"/>
        <family val="2"/>
      </rPr>
      <t>i henhold til kap. 5.2.3</t>
    </r>
  </si>
  <si>
    <r>
      <t>Krav til r</t>
    </r>
    <r>
      <rPr>
        <vertAlign val="subscript"/>
        <sz val="12"/>
        <rFont val="Arial"/>
        <family val="2"/>
      </rPr>
      <t xml:space="preserve">b </t>
    </r>
    <r>
      <rPr>
        <sz val="12"/>
        <rFont val="Arial"/>
        <family val="2"/>
      </rPr>
      <t xml:space="preserve">for varierende </t>
    </r>
    <r>
      <rPr>
        <sz val="12"/>
        <rFont val="Symbol"/>
        <family val="1"/>
        <charset val="2"/>
      </rPr>
      <t>f</t>
    </r>
    <r>
      <rPr>
        <sz val="9"/>
        <rFont val="Arial"/>
        <family val="2"/>
      </rPr>
      <t xml:space="preserve"> </t>
    </r>
    <r>
      <rPr>
        <sz val="12"/>
        <rFont val="Arial"/>
        <family val="2"/>
      </rPr>
      <t>og hellning av terreng</t>
    </r>
  </si>
  <si>
    <t xml:space="preserve"> </t>
  </si>
  <si>
    <r>
      <t xml:space="preserve">Antatt Leire og Silt når  </t>
    </r>
    <r>
      <rPr>
        <sz val="12"/>
        <rFont val="Symbol"/>
        <family val="1"/>
        <charset val="2"/>
      </rPr>
      <t>f</t>
    </r>
    <r>
      <rPr>
        <sz val="12"/>
        <rFont val="Arial"/>
        <family val="2"/>
      </rPr>
      <t xml:space="preserve"> &lt; 32° </t>
    </r>
  </si>
  <si>
    <r>
      <t xml:space="preserve">Antatt Sand, Grus og Sprengtstein når </t>
    </r>
    <r>
      <rPr>
        <sz val="12"/>
        <rFont val="Symbol"/>
        <family val="1"/>
        <charset val="2"/>
      </rPr>
      <t>f</t>
    </r>
    <r>
      <rPr>
        <sz val="12"/>
        <rFont val="Arial"/>
        <family val="2"/>
      </rPr>
      <t xml:space="preserve"> ≥ 32°</t>
    </r>
  </si>
  <si>
    <t>Materiale under fundament etter friksjonsvinkel:</t>
  </si>
  <si>
    <r>
      <t>Krav til r</t>
    </r>
    <r>
      <rPr>
        <vertAlign val="subscript"/>
        <sz val="12"/>
        <rFont val="Arial"/>
        <family val="2"/>
      </rPr>
      <t>b</t>
    </r>
    <r>
      <rPr>
        <sz val="12"/>
        <rFont val="Arial"/>
        <family val="2"/>
      </rPr>
      <t xml:space="preserve"> for leire</t>
    </r>
  </si>
  <si>
    <r>
      <t>Krav til r</t>
    </r>
    <r>
      <rPr>
        <vertAlign val="subscript"/>
        <sz val="12"/>
        <rFont val="Arial"/>
        <family val="2"/>
      </rPr>
      <t>b</t>
    </r>
    <r>
      <rPr>
        <sz val="12"/>
        <rFont val="Arial"/>
        <family val="2"/>
      </rPr>
      <t xml:space="preserve"> for grus</t>
    </r>
  </si>
  <si>
    <r>
      <t>Samlet krav til r</t>
    </r>
    <r>
      <rPr>
        <vertAlign val="subscript"/>
        <sz val="12"/>
        <rFont val="Arial"/>
        <family val="2"/>
      </rPr>
      <t>b</t>
    </r>
  </si>
  <si>
    <r>
      <t xml:space="preserve">Inkludere jordsug ved </t>
    </r>
    <r>
      <rPr>
        <sz val="10"/>
        <rFont val="Calibri"/>
        <family val="2"/>
      </rPr>
      <t xml:space="preserve">β&gt;0 </t>
    </r>
    <r>
      <rPr>
        <vertAlign val="superscript"/>
        <sz val="10"/>
        <rFont val="Calibri"/>
        <family val="2"/>
      </rPr>
      <t>4</t>
    </r>
    <r>
      <rPr>
        <vertAlign val="superscript"/>
        <sz val="10"/>
        <rFont val="Arial"/>
        <family val="2"/>
      </rPr>
      <t>)</t>
    </r>
  </si>
  <si>
    <t>Jordtrykk mot tørrmur avhengig av qv og attraksjonen, kfr. HB V220  figur 10.6</t>
  </si>
  <si>
    <t>Beregning av vertikaltrykk langs støttemur iht. V220 figur 10.2.1-1</t>
  </si>
  <si>
    <t>Krav til e ≤ B0,min</t>
  </si>
  <si>
    <r>
      <t>Krav til B</t>
    </r>
    <r>
      <rPr>
        <vertAlign val="subscript"/>
        <sz val="11"/>
        <rFont val="Arial"/>
        <family val="2"/>
      </rPr>
      <t>0</t>
    </r>
    <r>
      <rPr>
        <sz val="11"/>
        <rFont val="Arial"/>
        <family val="2"/>
      </rPr>
      <t xml:space="preserve"> ≥ B</t>
    </r>
    <r>
      <rPr>
        <vertAlign val="subscript"/>
        <sz val="11"/>
        <rFont val="Arial"/>
        <family val="2"/>
      </rPr>
      <t>0,min</t>
    </r>
    <r>
      <rPr>
        <sz val="11"/>
        <rFont val="Arial"/>
        <family val="2"/>
      </rPr>
      <t xml:space="preserve"> </t>
    </r>
  </si>
  <si>
    <r>
      <t>B</t>
    </r>
    <r>
      <rPr>
        <vertAlign val="subscript"/>
        <sz val="11"/>
        <rFont val="Arial"/>
        <family val="2"/>
      </rPr>
      <t>0,min</t>
    </r>
    <r>
      <rPr>
        <sz val="11"/>
        <rFont val="Arial"/>
        <family val="2"/>
      </rPr>
      <t xml:space="preserve"> = </t>
    </r>
    <r>
      <rPr>
        <sz val="11"/>
        <rFont val="Calibri"/>
        <family val="2"/>
      </rPr>
      <t>(B</t>
    </r>
    <r>
      <rPr>
        <vertAlign val="subscript"/>
        <sz val="11"/>
        <rFont val="Calibri"/>
        <family val="2"/>
      </rPr>
      <t>b</t>
    </r>
    <r>
      <rPr>
        <sz val="11"/>
        <rFont val="Calibri"/>
        <family val="2"/>
      </rPr>
      <t>+B</t>
    </r>
    <r>
      <rPr>
        <vertAlign val="subscript"/>
        <sz val="11"/>
        <rFont val="Calibri"/>
        <family val="2"/>
      </rPr>
      <t>x</t>
    </r>
    <r>
      <rPr>
        <sz val="11"/>
        <rFont val="Calibri"/>
        <family val="2"/>
      </rPr>
      <t>)</t>
    </r>
    <r>
      <rPr>
        <sz val="11"/>
        <rFont val="Arial"/>
        <family val="2"/>
      </rPr>
      <t>/3</t>
    </r>
  </si>
  <si>
    <r>
      <t>Krav til b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</t>
    </r>
    <r>
      <rPr>
        <sz val="10"/>
        <rFont val="Calibri"/>
        <family val="2"/>
      </rPr>
      <t>≥</t>
    </r>
    <r>
      <rPr>
        <sz val="10"/>
        <rFont val="Arial"/>
        <family val="2"/>
      </rPr>
      <t xml:space="preserve"> b</t>
    </r>
    <r>
      <rPr>
        <vertAlign val="subscript"/>
        <sz val="10"/>
        <rFont val="Arial"/>
        <family val="2"/>
      </rPr>
      <t>0,min</t>
    </r>
    <r>
      <rPr>
        <sz val="10"/>
        <rFont val="Arial"/>
        <family val="2"/>
      </rPr>
      <t xml:space="preserve"> og e </t>
    </r>
    <r>
      <rPr>
        <sz val="10"/>
        <rFont val="Calibri"/>
        <family val="2"/>
      </rPr>
      <t>≤</t>
    </r>
    <r>
      <rPr>
        <sz val="10"/>
        <rFont val="Arial"/>
        <family val="2"/>
      </rPr>
      <t xml:space="preserve"> b</t>
    </r>
    <r>
      <rPr>
        <vertAlign val="subscript"/>
        <sz val="10"/>
        <rFont val="Arial"/>
        <family val="2"/>
      </rPr>
      <t>0,min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3)</t>
    </r>
  </si>
  <si>
    <r>
      <t xml:space="preserve">Kontroll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 xml:space="preserve"> &gt; q</t>
    </r>
    <r>
      <rPr>
        <vertAlign val="subscript"/>
        <sz val="10"/>
        <rFont val="Arial"/>
        <family val="2"/>
      </rPr>
      <t>v</t>
    </r>
  </si>
  <si>
    <t>EOH</t>
  </si>
  <si>
    <r>
      <t>Lastfaktorer, γ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 xml:space="preserve"> (Nyttelast | Boggilast)</t>
    </r>
  </si>
  <si>
    <r>
      <t>Endret rutine for kontroll av b</t>
    </r>
    <r>
      <rPr>
        <vertAlign val="subscript"/>
        <sz val="11"/>
        <color theme="1"/>
        <rFont val="Calibri"/>
        <family val="2"/>
      </rPr>
      <t>0</t>
    </r>
    <r>
      <rPr>
        <sz val="11"/>
        <color theme="1"/>
        <rFont val="Calibri"/>
        <family val="2"/>
      </rPr>
      <t>. Separat γ</t>
    </r>
    <r>
      <rPr>
        <vertAlign val="subscript"/>
        <sz val="11"/>
        <color theme="1"/>
        <rFont val="Calibri"/>
        <family val="2"/>
      </rPr>
      <t>Q</t>
    </r>
    <r>
      <rPr>
        <sz val="11"/>
        <color theme="1"/>
        <rFont val="Calibri"/>
        <family val="2"/>
      </rPr>
      <t xml:space="preserve"> for nytte- og boggilast</t>
    </r>
  </si>
  <si>
    <t>EHU</t>
  </si>
  <si>
    <t xml:space="preserve">Beregning av tørrmur gjøres i henhold til Statens vegvesens håndbok V220 kapittel 10.3.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</si>
</sst>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"/>
    <numFmt numFmtId="167" formatCode="0.000000"/>
    <numFmt numFmtId="168" formatCode="0.00000"/>
    <numFmt numFmtId="169" formatCode="0.00000000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Symbol"/>
      <family val="1"/>
      <charset val="2"/>
    </font>
    <font>
      <sz val="8"/>
      <name val="Arial"/>
      <family val="2"/>
    </font>
    <font>
      <sz val="10"/>
      <name val="Symbol"/>
      <family val="1"/>
      <charset val="2"/>
    </font>
    <font>
      <sz val="11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vertAlign val="subscript"/>
      <sz val="12"/>
      <name val="Arial"/>
      <family val="2"/>
    </font>
    <font>
      <vertAlign val="subscript"/>
      <sz val="12"/>
      <name val="Symbol"/>
      <family val="1"/>
      <charset val="2"/>
    </font>
    <font>
      <sz val="14"/>
      <name val="Symbol"/>
      <family val="1"/>
      <charset val="2"/>
    </font>
    <font>
      <sz val="12"/>
      <name val="Times New Roman"/>
      <family val="1"/>
    </font>
    <font>
      <b/>
      <u/>
      <sz val="12"/>
      <name val="Arial"/>
      <family val="2"/>
    </font>
    <font>
      <sz val="10.199999999999999"/>
      <name val="Arial"/>
      <family val="2"/>
    </font>
    <font>
      <sz val="10.199999999999999"/>
      <name val="Symbol"/>
      <family val="1"/>
      <charset val="2"/>
    </font>
    <font>
      <i/>
      <sz val="10"/>
      <name val="Arial"/>
      <family val="2"/>
    </font>
    <font>
      <b/>
      <sz val="14"/>
      <name val="Arial"/>
      <family val="2"/>
    </font>
    <font>
      <b/>
      <vertAlign val="subscript"/>
      <sz val="12"/>
      <name val="Symbol"/>
      <family val="1"/>
      <charset val="2"/>
    </font>
    <font>
      <u/>
      <sz val="12"/>
      <name val="Arial"/>
      <family val="2"/>
    </font>
    <font>
      <sz val="14"/>
      <name val="Arial"/>
      <family val="2"/>
    </font>
    <font>
      <vertAlign val="subscript"/>
      <sz val="14"/>
      <name val="Symbol"/>
      <family val="1"/>
      <charset val="2"/>
    </font>
    <font>
      <vertAlign val="subscript"/>
      <sz val="14"/>
      <name val="Arial"/>
      <family val="2"/>
    </font>
    <font>
      <sz val="11"/>
      <color indexed="56"/>
      <name val="Arial"/>
      <family val="2"/>
    </font>
    <font>
      <vertAlign val="subscript"/>
      <sz val="16"/>
      <name val="Symbol"/>
      <family val="1"/>
      <charset val="2"/>
    </font>
    <font>
      <sz val="16"/>
      <name val="Symbol"/>
      <family val="1"/>
      <charset val="2"/>
    </font>
    <font>
      <b/>
      <i/>
      <sz val="12"/>
      <name val="Arial"/>
      <family val="2"/>
    </font>
    <font>
      <b/>
      <sz val="20"/>
      <name val="Arial"/>
      <family val="2"/>
    </font>
    <font>
      <b/>
      <sz val="10"/>
      <color indexed="10"/>
      <name val="Arial"/>
      <family val="2"/>
    </font>
    <font>
      <b/>
      <sz val="12"/>
      <color indexed="62"/>
      <name val="Arial"/>
      <family val="2"/>
    </font>
    <font>
      <b/>
      <sz val="22"/>
      <name val="Arial"/>
      <family val="2"/>
    </font>
    <font>
      <i/>
      <sz val="12"/>
      <name val="Arial"/>
      <family val="2"/>
    </font>
    <font>
      <b/>
      <sz val="24"/>
      <name val="Arial"/>
      <family val="2"/>
    </font>
    <font>
      <sz val="11"/>
      <name val="Symbol"/>
      <family val="1"/>
      <charset val="2"/>
    </font>
    <font>
      <vertAlign val="subscript"/>
      <sz val="11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u/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GreekS"/>
    </font>
    <font>
      <sz val="20"/>
      <name val="Arial"/>
      <family val="2"/>
    </font>
    <font>
      <sz val="10"/>
      <name val="Calibri"/>
      <family val="2"/>
    </font>
    <font>
      <b/>
      <sz val="10"/>
      <color theme="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Calibri"/>
      <family val="2"/>
    </font>
    <font>
      <b/>
      <sz val="7"/>
      <name val="Arial"/>
      <family val="2"/>
    </font>
    <font>
      <sz val="16"/>
      <name val="Arial"/>
      <family val="2"/>
    </font>
    <font>
      <b/>
      <sz val="10"/>
      <color indexed="62"/>
      <name val="Arial"/>
      <family val="2"/>
    </font>
    <font>
      <sz val="20"/>
      <color rgb="FFFF0000"/>
      <name val="Arial"/>
      <family val="2"/>
    </font>
    <font>
      <b/>
      <sz val="10"/>
      <color theme="4"/>
      <name val="Arial"/>
      <family val="2"/>
    </font>
    <font>
      <sz val="12"/>
      <name val="Calibri"/>
      <family val="2"/>
    </font>
    <font>
      <vertAlign val="subscript"/>
      <sz val="12"/>
      <name val="Calibri"/>
      <family val="2"/>
    </font>
    <font>
      <b/>
      <sz val="14"/>
      <color rgb="FF000000"/>
      <name val="Calibri"/>
      <family val="2"/>
    </font>
    <font>
      <b/>
      <sz val="8"/>
      <color rgb="FF3A9DCE"/>
      <name val="Calibri"/>
      <family val="2"/>
    </font>
    <font>
      <sz val="11"/>
      <color theme="1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FFFFFF"/>
      <name val="Calibri"/>
      <family val="2"/>
    </font>
    <font>
      <vertAlign val="superscript"/>
      <sz val="10"/>
      <name val="Calibri"/>
      <family val="2"/>
    </font>
    <font>
      <vertAlign val="subscript"/>
      <sz val="8"/>
      <name val="Arial"/>
      <family val="2"/>
    </font>
    <font>
      <sz val="8"/>
      <name val="Calibri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vertAlign val="subscript"/>
      <sz val="11"/>
      <color theme="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EA0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rgb="FFFFFFFF"/>
      </patternFill>
    </fill>
    <fill>
      <patternFill patternType="solid">
        <fgColor rgb="FF5B9BD5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B9BD5"/>
        <bgColor indexed="64"/>
      </patternFill>
    </fill>
  </fills>
  <borders count="1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n">
        <color indexed="64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/>
      <top style="thick">
        <color rgb="FFFF0000"/>
      </top>
      <bottom style="thin">
        <color indexed="64"/>
      </bottom>
      <diagonal/>
    </border>
    <border>
      <left/>
      <right style="thin">
        <color indexed="64"/>
      </right>
      <top style="thick">
        <color rgb="FFFF0000"/>
      </top>
      <bottom style="thin">
        <color indexed="64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n">
        <color indexed="64"/>
      </top>
      <bottom/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n">
        <color indexed="64"/>
      </top>
      <bottom style="medium">
        <color indexed="64"/>
      </bottom>
      <diagonal/>
    </border>
    <border>
      <left style="thick">
        <color rgb="FFFF0000"/>
      </left>
      <right/>
      <top style="medium">
        <color indexed="64"/>
      </top>
      <bottom style="thin">
        <color indexed="64"/>
      </bottom>
      <diagonal/>
    </border>
    <border>
      <left style="thick">
        <color rgb="FFFF0000"/>
      </left>
      <right/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medium">
        <color auto="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auto="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 style="medium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thin">
        <color auto="1"/>
      </bottom>
      <diagonal/>
    </border>
    <border>
      <left style="thin">
        <color theme="0" tint="-0.2499465926084170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auto="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indexed="64"/>
      </top>
      <bottom style="thin">
        <color auto="1"/>
      </bottom>
      <diagonal/>
    </border>
    <border>
      <left style="thin">
        <color theme="0" tint="-0.2499465926084170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theme="0" tint="-0.24994659260841701"/>
      </bottom>
      <diagonal/>
    </border>
    <border>
      <left/>
      <right/>
      <top style="thin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auto="1"/>
      </bottom>
      <diagonal/>
    </border>
    <border>
      <left/>
      <right/>
      <top style="thin">
        <color theme="0" tint="-0.24994659260841701"/>
      </top>
      <bottom style="thin">
        <color auto="1"/>
      </bottom>
      <diagonal/>
    </border>
    <border>
      <left/>
      <right style="medium">
        <color auto="1"/>
      </right>
      <top style="thin">
        <color theme="0" tint="-0.24994659260841701"/>
      </top>
      <bottom style="thin">
        <color auto="1"/>
      </bottom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 style="medium">
        <color auto="1"/>
      </left>
      <right/>
      <top style="thin">
        <color rgb="FFFFC000"/>
      </top>
      <bottom style="thin">
        <color rgb="FFFFC000"/>
      </bottom>
      <diagonal/>
    </border>
    <border>
      <left/>
      <right/>
      <top style="thin">
        <color rgb="FFFFC000"/>
      </top>
      <bottom style="thin">
        <color rgb="FFFFC000"/>
      </bottom>
      <diagonal/>
    </border>
    <border>
      <left style="medium">
        <color auto="1"/>
      </left>
      <right/>
      <top style="thin">
        <color rgb="FFFFC000"/>
      </top>
      <bottom style="thin">
        <color auto="1"/>
      </bottom>
      <diagonal/>
    </border>
    <border>
      <left/>
      <right/>
      <top style="thin">
        <color rgb="FFFFC000"/>
      </top>
      <bottom style="thin">
        <color auto="1"/>
      </bottom>
      <diagonal/>
    </border>
    <border>
      <left style="medium">
        <color auto="1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rgb="FFFFC000"/>
      </bottom>
      <diagonal/>
    </border>
    <border>
      <left/>
      <right/>
      <top style="medium">
        <color auto="1"/>
      </top>
      <bottom style="thin">
        <color rgb="FFFFC000"/>
      </bottom>
      <diagonal/>
    </border>
    <border>
      <left/>
      <right style="medium">
        <color indexed="64"/>
      </right>
      <top style="medium">
        <color auto="1"/>
      </top>
      <bottom style="thin">
        <color rgb="FFFFC000"/>
      </bottom>
      <diagonal/>
    </border>
    <border>
      <left/>
      <right style="medium">
        <color indexed="64"/>
      </right>
      <top style="thin">
        <color rgb="FFFFC000"/>
      </top>
      <bottom style="thin">
        <color rgb="FFFFC000"/>
      </bottom>
      <diagonal/>
    </border>
    <border>
      <left style="medium">
        <color auto="1"/>
      </left>
      <right/>
      <top style="thin">
        <color rgb="FFFFC000"/>
      </top>
      <bottom style="medium">
        <color auto="1"/>
      </bottom>
      <diagonal/>
    </border>
    <border>
      <left/>
      <right/>
      <top style="thin">
        <color rgb="FFFFC000"/>
      </top>
      <bottom style="medium">
        <color auto="1"/>
      </bottom>
      <diagonal/>
    </border>
    <border>
      <left/>
      <right style="medium">
        <color indexed="64"/>
      </right>
      <top style="thin">
        <color rgb="FFFFC000"/>
      </top>
      <bottom style="medium">
        <color auto="1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/>
      <diagonal/>
    </border>
    <border>
      <left style="medium">
        <color auto="1"/>
      </left>
      <right style="thin">
        <color theme="0" tint="-0.24994659260841701"/>
      </right>
      <top/>
      <bottom/>
      <diagonal/>
    </border>
  </borders>
  <cellStyleXfs count="3">
    <xf numFmtId="0" fontId="0" fillId="0" borderId="0"/>
    <xf numFmtId="0" fontId="1" fillId="0" borderId="0"/>
    <xf numFmtId="0" fontId="1" fillId="16" borderId="121" applyNumberFormat="0" applyFont="0" applyAlignment="0" applyProtection="0"/>
  </cellStyleXfs>
  <cellXfs count="678">
    <xf numFmtId="0" fontId="0" fillId="0" borderId="0" xfId="0"/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2" fontId="3" fillId="0" borderId="0" xfId="0" applyNumberFormat="1" applyFont="1" applyProtection="1">
      <protection hidden="1"/>
    </xf>
    <xf numFmtId="0" fontId="6" fillId="0" borderId="0" xfId="0" quotePrefix="1" applyFont="1" applyAlignment="1" applyProtection="1">
      <alignment horizontal="left"/>
      <protection hidden="1"/>
    </xf>
    <xf numFmtId="166" fontId="0" fillId="0" borderId="1" xfId="0" applyNumberFormat="1" applyBorder="1" applyAlignment="1" applyProtection="1">
      <alignment horizontal="center" vertical="center"/>
      <protection hidden="1"/>
    </xf>
    <xf numFmtId="0" fontId="4" fillId="2" borderId="2" xfId="0" quotePrefix="1" applyFont="1" applyFill="1" applyBorder="1" applyAlignment="1" applyProtection="1">
      <alignment horizontal="left"/>
      <protection hidden="1"/>
    </xf>
    <xf numFmtId="0" fontId="16" fillId="2" borderId="3" xfId="0" applyFont="1" applyFill="1" applyBorder="1" applyProtection="1">
      <protection hidden="1"/>
    </xf>
    <xf numFmtId="0" fontId="4" fillId="2" borderId="3" xfId="0" quotePrefix="1" applyFont="1" applyFill="1" applyBorder="1" applyAlignment="1" applyProtection="1">
      <alignment horizontal="left"/>
      <protection hidden="1"/>
    </xf>
    <xf numFmtId="0" fontId="4" fillId="0" borderId="2" xfId="0" quotePrefix="1" applyFont="1" applyBorder="1" applyAlignment="1" applyProtection="1">
      <alignment horizontal="left"/>
      <protection hidden="1"/>
    </xf>
    <xf numFmtId="0" fontId="4" fillId="0" borderId="3" xfId="0" quotePrefix="1" applyFont="1" applyBorder="1" applyAlignment="1" applyProtection="1">
      <alignment horizontal="left"/>
      <protection hidden="1"/>
    </xf>
    <xf numFmtId="0" fontId="8" fillId="0" borderId="5" xfId="0" applyFont="1" applyBorder="1" applyProtection="1">
      <protection hidden="1"/>
    </xf>
    <xf numFmtId="0" fontId="4" fillId="0" borderId="6" xfId="0" applyFont="1" applyBorder="1" applyProtection="1">
      <protection hidden="1"/>
    </xf>
    <xf numFmtId="0" fontId="4" fillId="0" borderId="6" xfId="0" quotePrefix="1" applyFont="1" applyBorder="1" applyAlignment="1" applyProtection="1">
      <alignment horizontal="left"/>
      <protection hidden="1"/>
    </xf>
    <xf numFmtId="0" fontId="4" fillId="0" borderId="0" xfId="0" quotePrefix="1" applyFont="1" applyAlignment="1" applyProtection="1">
      <alignment horizontal="left"/>
      <protection hidden="1"/>
    </xf>
    <xf numFmtId="0" fontId="6" fillId="0" borderId="7" xfId="0" quotePrefix="1" applyFont="1" applyBorder="1" applyAlignment="1" applyProtection="1">
      <alignment horizontal="left"/>
      <protection hidden="1"/>
    </xf>
    <xf numFmtId="0" fontId="6" fillId="0" borderId="8" xfId="0" quotePrefix="1" applyFont="1" applyBorder="1" applyAlignment="1" applyProtection="1">
      <alignment horizontal="left"/>
      <protection hidden="1"/>
    </xf>
    <xf numFmtId="0" fontId="14" fillId="0" borderId="9" xfId="0" applyFont="1" applyBorder="1" applyProtection="1">
      <protection hidden="1"/>
    </xf>
    <xf numFmtId="2" fontId="0" fillId="0" borderId="0" xfId="0" applyNumberFormat="1" applyProtection="1">
      <protection hidden="1"/>
    </xf>
    <xf numFmtId="0" fontId="4" fillId="0" borderId="2" xfId="0" applyFont="1" applyBorder="1" applyProtection="1">
      <protection hidden="1"/>
    </xf>
    <xf numFmtId="0" fontId="4" fillId="0" borderId="3" xfId="0" applyFont="1" applyBorder="1" applyProtection="1">
      <protection hidden="1"/>
    </xf>
    <xf numFmtId="0" fontId="6" fillId="0" borderId="3" xfId="0" applyFont="1" applyBorder="1" applyAlignment="1" applyProtection="1">
      <alignment horizontal="left"/>
      <protection hidden="1"/>
    </xf>
    <xf numFmtId="0" fontId="6" fillId="0" borderId="3" xfId="0" quotePrefix="1" applyFont="1" applyBorder="1" applyAlignment="1" applyProtection="1">
      <alignment horizontal="left"/>
      <protection hidden="1"/>
    </xf>
    <xf numFmtId="0" fontId="4" fillId="0" borderId="2" xfId="0" applyFont="1" applyBorder="1" applyAlignment="1" applyProtection="1">
      <alignment horizontal="left"/>
      <protection hidden="1"/>
    </xf>
    <xf numFmtId="0" fontId="4" fillId="0" borderId="3" xfId="0" applyFont="1" applyBorder="1" applyAlignment="1" applyProtection="1">
      <alignment horizontal="left"/>
      <protection hidden="1"/>
    </xf>
    <xf numFmtId="0" fontId="4" fillId="2" borderId="2" xfId="0" quotePrefix="1" applyFont="1" applyFill="1" applyBorder="1" applyAlignment="1">
      <alignment horizontal="left"/>
    </xf>
    <xf numFmtId="0" fontId="4" fillId="2" borderId="3" xfId="0" quotePrefix="1" applyFont="1" applyFill="1" applyBorder="1" applyAlignment="1">
      <alignment horizontal="left"/>
    </xf>
    <xf numFmtId="169" fontId="0" fillId="0" borderId="0" xfId="0" applyNumberFormat="1" applyProtection="1">
      <protection hidden="1"/>
    </xf>
    <xf numFmtId="165" fontId="0" fillId="0" borderId="0" xfId="0" applyNumberFormat="1" applyProtection="1">
      <protection hidden="1"/>
    </xf>
    <xf numFmtId="0" fontId="0" fillId="0" borderId="6" xfId="0" applyBorder="1" applyProtection="1">
      <protection hidden="1"/>
    </xf>
    <xf numFmtId="169" fontId="8" fillId="0" borderId="0" xfId="0" applyNumberFormat="1" applyFont="1" applyProtection="1">
      <protection hidden="1"/>
    </xf>
    <xf numFmtId="0" fontId="0" fillId="0" borderId="10" xfId="0" applyBorder="1" applyProtection="1">
      <protection hidden="1"/>
    </xf>
    <xf numFmtId="169" fontId="0" fillId="0" borderId="7" xfId="0" applyNumberFormat="1" applyBorder="1" applyProtection="1">
      <protection hidden="1"/>
    </xf>
    <xf numFmtId="0" fontId="0" fillId="0" borderId="7" xfId="0" applyBorder="1" applyProtection="1">
      <protection hidden="1"/>
    </xf>
    <xf numFmtId="0" fontId="4" fillId="0" borderId="9" xfId="0" quotePrefix="1" applyFont="1" applyBorder="1" applyAlignment="1" applyProtection="1">
      <alignment horizontal="left"/>
      <protection hidden="1"/>
    </xf>
    <xf numFmtId="0" fontId="4" fillId="0" borderId="5" xfId="0" quotePrefix="1" applyFont="1" applyBorder="1" applyAlignment="1" applyProtection="1">
      <alignment horizontal="left"/>
      <protection hidden="1"/>
    </xf>
    <xf numFmtId="0" fontId="6" fillId="0" borderId="12" xfId="0" quotePrefix="1" applyFont="1" applyBorder="1" applyAlignment="1" applyProtection="1">
      <alignment horizontal="left"/>
      <protection hidden="1"/>
    </xf>
    <xf numFmtId="0" fontId="4" fillId="0" borderId="13" xfId="0" quotePrefix="1" applyFont="1" applyBorder="1" applyAlignment="1" applyProtection="1">
      <alignment horizontal="left"/>
      <protection hidden="1"/>
    </xf>
    <xf numFmtId="0" fontId="4" fillId="0" borderId="14" xfId="0" quotePrefix="1" applyFont="1" applyBorder="1" applyAlignment="1" applyProtection="1">
      <alignment horizontal="left"/>
      <protection hidden="1"/>
    </xf>
    <xf numFmtId="0" fontId="14" fillId="0" borderId="2" xfId="0" applyFont="1" applyBorder="1" applyAlignment="1" applyProtection="1">
      <alignment horizontal="left"/>
      <protection hidden="1"/>
    </xf>
    <xf numFmtId="0" fontId="14" fillId="0" borderId="10" xfId="0" quotePrefix="1" applyFont="1" applyBorder="1" applyAlignment="1" applyProtection="1">
      <alignment horizontal="left"/>
      <protection hidden="1"/>
    </xf>
    <xf numFmtId="0" fontId="14" fillId="0" borderId="2" xfId="0" quotePrefix="1" applyFont="1" applyBorder="1" applyAlignment="1" applyProtection="1">
      <alignment horizontal="left"/>
      <protection hidden="1"/>
    </xf>
    <xf numFmtId="0" fontId="14" fillId="0" borderId="9" xfId="0" quotePrefix="1" applyFont="1" applyBorder="1" applyAlignment="1" applyProtection="1">
      <alignment horizontal="left"/>
      <protection hidden="1"/>
    </xf>
    <xf numFmtId="0" fontId="4" fillId="0" borderId="0" xfId="0" applyFont="1" applyAlignment="1" applyProtection="1">
      <alignment horizontal="center"/>
      <protection hidden="1"/>
    </xf>
    <xf numFmtId="0" fontId="4" fillId="2" borderId="25" xfId="0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 applyProtection="1">
      <alignment horizontal="center"/>
      <protection hidden="1"/>
    </xf>
    <xf numFmtId="0" fontId="9" fillId="2" borderId="18" xfId="0" applyFont="1" applyFill="1" applyBorder="1" applyProtection="1">
      <protection hidden="1"/>
    </xf>
    <xf numFmtId="2" fontId="9" fillId="2" borderId="31" xfId="0" applyNumberFormat="1" applyFont="1" applyFill="1" applyBorder="1" applyAlignment="1" applyProtection="1">
      <alignment horizontal="center"/>
      <protection hidden="1"/>
    </xf>
    <xf numFmtId="165" fontId="9" fillId="2" borderId="32" xfId="0" applyNumberFormat="1" applyFont="1" applyFill="1" applyBorder="1" applyAlignment="1" applyProtection="1">
      <alignment horizontal="center"/>
      <protection hidden="1"/>
    </xf>
    <xf numFmtId="165" fontId="9" fillId="2" borderId="31" xfId="0" applyNumberFormat="1" applyFont="1" applyFill="1" applyBorder="1" applyAlignment="1" applyProtection="1">
      <alignment horizontal="center"/>
      <protection hidden="1"/>
    </xf>
    <xf numFmtId="165" fontId="9" fillId="2" borderId="33" xfId="0" applyNumberFormat="1" applyFont="1" applyFill="1" applyBorder="1" applyAlignment="1" applyProtection="1">
      <alignment horizontal="center"/>
      <protection hidden="1"/>
    </xf>
    <xf numFmtId="0" fontId="22" fillId="2" borderId="8" xfId="0" applyFont="1" applyFill="1" applyBorder="1" applyProtection="1">
      <protection hidden="1"/>
    </xf>
    <xf numFmtId="0" fontId="4" fillId="2" borderId="8" xfId="0" quotePrefix="1" applyFont="1" applyFill="1" applyBorder="1" applyAlignment="1" applyProtection="1">
      <alignment horizontal="left"/>
      <protection hidden="1"/>
    </xf>
    <xf numFmtId="0" fontId="4" fillId="2" borderId="8" xfId="0" quotePrefix="1" applyFont="1" applyFill="1" applyBorder="1" applyAlignment="1">
      <alignment horizontal="left"/>
    </xf>
    <xf numFmtId="0" fontId="4" fillId="0" borderId="8" xfId="0" quotePrefix="1" applyFont="1" applyBorder="1" applyAlignment="1" applyProtection="1">
      <alignment horizontal="left"/>
      <protection hidden="1"/>
    </xf>
    <xf numFmtId="0" fontId="4" fillId="0" borderId="8" xfId="0" applyFont="1" applyBorder="1" applyProtection="1">
      <protection hidden="1"/>
    </xf>
    <xf numFmtId="0" fontId="4" fillId="0" borderId="8" xfId="0" applyFont="1" applyBorder="1" applyAlignment="1" applyProtection="1">
      <alignment horizontal="left"/>
      <protection hidden="1"/>
    </xf>
    <xf numFmtId="0" fontId="6" fillId="0" borderId="8" xfId="0" applyFont="1" applyBorder="1" applyAlignment="1" applyProtection="1">
      <alignment horizontal="left"/>
      <protection hidden="1"/>
    </xf>
    <xf numFmtId="0" fontId="6" fillId="0" borderId="5" xfId="0" applyFont="1" applyBorder="1" applyProtection="1">
      <protection hidden="1"/>
    </xf>
    <xf numFmtId="0" fontId="6" fillId="0" borderId="5" xfId="0" quotePrefix="1" applyFont="1" applyBorder="1" applyAlignment="1" applyProtection="1">
      <alignment horizontal="left"/>
      <protection hidden="1"/>
    </xf>
    <xf numFmtId="2" fontId="9" fillId="0" borderId="1" xfId="0" applyNumberFormat="1" applyFont="1" applyBorder="1" applyAlignment="1" applyProtection="1">
      <alignment horizontal="center"/>
      <protection hidden="1"/>
    </xf>
    <xf numFmtId="2" fontId="9" fillId="3" borderId="1" xfId="0" applyNumberFormat="1" applyFont="1" applyFill="1" applyBorder="1" applyAlignment="1" applyProtection="1">
      <alignment horizontal="center"/>
      <protection hidden="1"/>
    </xf>
    <xf numFmtId="168" fontId="9" fillId="0" borderId="1" xfId="0" applyNumberFormat="1" applyFont="1" applyBorder="1" applyAlignment="1" applyProtection="1">
      <alignment horizontal="center"/>
      <protection hidden="1"/>
    </xf>
    <xf numFmtId="167" fontId="9" fillId="0" borderId="1" xfId="0" applyNumberFormat="1" applyFont="1" applyBorder="1" applyAlignment="1" applyProtection="1">
      <alignment horizontal="center"/>
      <protection hidden="1"/>
    </xf>
    <xf numFmtId="0" fontId="16" fillId="2" borderId="2" xfId="0" applyFont="1" applyFill="1" applyBorder="1" applyProtection="1">
      <protection hidden="1"/>
    </xf>
    <xf numFmtId="0" fontId="36" fillId="8" borderId="1" xfId="0" applyFont="1" applyFill="1" applyBorder="1" applyProtection="1">
      <protection hidden="1"/>
    </xf>
    <xf numFmtId="164" fontId="38" fillId="3" borderId="1" xfId="0" quotePrefix="1" applyNumberFormat="1" applyFont="1" applyFill="1" applyBorder="1" applyAlignment="1" applyProtection="1">
      <alignment horizontal="center"/>
      <protection hidden="1"/>
    </xf>
    <xf numFmtId="165" fontId="38" fillId="3" borderId="1" xfId="0" applyNumberFormat="1" applyFont="1" applyFill="1" applyBorder="1" applyAlignment="1" applyProtection="1">
      <alignment horizontal="center"/>
      <protection hidden="1"/>
    </xf>
    <xf numFmtId="164" fontId="9" fillId="8" borderId="4" xfId="0" applyNumberFormat="1" applyFont="1" applyFill="1" applyBorder="1" applyAlignment="1" applyProtection="1">
      <alignment horizontal="center"/>
      <protection hidden="1"/>
    </xf>
    <xf numFmtId="164" fontId="9" fillId="8" borderId="1" xfId="0" applyNumberFormat="1" applyFont="1" applyFill="1" applyBorder="1" applyAlignment="1" applyProtection="1">
      <alignment horizontal="center"/>
      <protection hidden="1"/>
    </xf>
    <xf numFmtId="168" fontId="9" fillId="8" borderId="1" xfId="0" applyNumberFormat="1" applyFont="1" applyFill="1" applyBorder="1" applyAlignment="1" applyProtection="1">
      <alignment horizontal="center"/>
      <protection hidden="1"/>
    </xf>
    <xf numFmtId="2" fontId="4" fillId="0" borderId="0" xfId="0" applyNumberFormat="1" applyFont="1" applyAlignment="1" applyProtection="1">
      <alignment horizontal="center" vertical="center"/>
      <protection hidden="1"/>
    </xf>
    <xf numFmtId="0" fontId="4" fillId="2" borderId="1" xfId="0" applyFont="1" applyFill="1" applyBorder="1" applyAlignment="1" applyProtection="1">
      <alignment horizontal="center"/>
      <protection hidden="1"/>
    </xf>
    <xf numFmtId="0" fontId="4" fillId="2" borderId="3" xfId="0" applyFont="1" applyFill="1" applyBorder="1" applyAlignment="1" applyProtection="1">
      <alignment horizontal="left"/>
      <protection hidden="1"/>
    </xf>
    <xf numFmtId="2" fontId="4" fillId="0" borderId="0" xfId="0" applyNumberFormat="1" applyFont="1" applyAlignment="1" applyProtection="1">
      <alignment horizontal="center"/>
      <protection hidden="1"/>
    </xf>
    <xf numFmtId="0" fontId="6" fillId="2" borderId="3" xfId="0" applyFont="1" applyFill="1" applyBorder="1" applyAlignment="1" applyProtection="1">
      <alignment horizontal="center"/>
      <protection hidden="1"/>
    </xf>
    <xf numFmtId="0" fontId="4" fillId="2" borderId="3" xfId="0" quotePrefix="1" applyFont="1" applyFill="1" applyBorder="1" applyAlignment="1" applyProtection="1">
      <alignment horizontal="center"/>
      <protection hidden="1"/>
    </xf>
    <xf numFmtId="2" fontId="26" fillId="4" borderId="11" xfId="0" applyNumberFormat="1" applyFont="1" applyFill="1" applyBorder="1" applyAlignment="1" applyProtection="1">
      <alignment horizontal="center"/>
      <protection hidden="1"/>
    </xf>
    <xf numFmtId="0" fontId="0" fillId="8" borderId="5" xfId="0" applyFill="1" applyBorder="1" applyProtection="1">
      <protection hidden="1"/>
    </xf>
    <xf numFmtId="0" fontId="0" fillId="8" borderId="8" xfId="0" applyFill="1" applyBorder="1" applyProtection="1">
      <protection hidden="1"/>
    </xf>
    <xf numFmtId="0" fontId="0" fillId="8" borderId="3" xfId="0" applyFill="1" applyBorder="1" applyProtection="1">
      <protection hidden="1"/>
    </xf>
    <xf numFmtId="2" fontId="38" fillId="0" borderId="0" xfId="0" applyNumberFormat="1" applyFont="1" applyAlignment="1" applyProtection="1">
      <alignment horizontal="right" vertical="center"/>
      <protection hidden="1"/>
    </xf>
    <xf numFmtId="0" fontId="40" fillId="2" borderId="9" xfId="0" applyFont="1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4" fillId="0" borderId="34" xfId="0" quotePrefix="1" applyFont="1" applyBorder="1" applyAlignment="1" applyProtection="1">
      <alignment horizontal="left"/>
      <protection hidden="1"/>
    </xf>
    <xf numFmtId="0" fontId="14" fillId="0" borderId="31" xfId="0" quotePrefix="1" applyFont="1" applyBorder="1" applyAlignment="1" applyProtection="1">
      <alignment horizontal="left"/>
      <protection hidden="1"/>
    </xf>
    <xf numFmtId="165" fontId="9" fillId="10" borderId="0" xfId="0" applyNumberFormat="1" applyFont="1" applyFill="1" applyAlignment="1" applyProtection="1">
      <alignment horizontal="left"/>
      <protection hidden="1"/>
    </xf>
    <xf numFmtId="0" fontId="4" fillId="4" borderId="20" xfId="0" applyFont="1" applyFill="1" applyBorder="1" applyAlignment="1" applyProtection="1">
      <alignment horizontal="left"/>
      <protection hidden="1"/>
    </xf>
    <xf numFmtId="0" fontId="4" fillId="4" borderId="22" xfId="0" applyFont="1" applyFill="1" applyBorder="1" applyAlignment="1" applyProtection="1">
      <alignment horizontal="left"/>
      <protection hidden="1"/>
    </xf>
    <xf numFmtId="0" fontId="4" fillId="4" borderId="18" xfId="0" applyFont="1" applyFill="1" applyBorder="1" applyAlignment="1" applyProtection="1">
      <alignment horizontal="left"/>
      <protection hidden="1"/>
    </xf>
    <xf numFmtId="164" fontId="38" fillId="12" borderId="1" xfId="0" quotePrefix="1" applyNumberFormat="1" applyFont="1" applyFill="1" applyBorder="1" applyAlignment="1" applyProtection="1">
      <alignment horizontal="center"/>
      <protection hidden="1"/>
    </xf>
    <xf numFmtId="169" fontId="0" fillId="12" borderId="0" xfId="0" applyNumberFormat="1" applyFill="1" applyProtection="1">
      <protection hidden="1"/>
    </xf>
    <xf numFmtId="0" fontId="0" fillId="12" borderId="0" xfId="0" applyFill="1" applyProtection="1">
      <protection hidden="1"/>
    </xf>
    <xf numFmtId="165" fontId="38" fillId="12" borderId="1" xfId="0" applyNumberFormat="1" applyFont="1" applyFill="1" applyBorder="1" applyAlignment="1" applyProtection="1">
      <alignment horizontal="center"/>
      <protection hidden="1"/>
    </xf>
    <xf numFmtId="165" fontId="0" fillId="12" borderId="0" xfId="0" applyNumberFormat="1" applyFill="1" applyProtection="1">
      <protection hidden="1"/>
    </xf>
    <xf numFmtId="164" fontId="9" fillId="12" borderId="4" xfId="0" applyNumberFormat="1" applyFont="1" applyFill="1" applyBorder="1" applyAlignment="1" applyProtection="1">
      <alignment horizontal="center"/>
      <protection hidden="1"/>
    </xf>
    <xf numFmtId="0" fontId="0" fillId="12" borderId="6" xfId="0" applyFill="1" applyBorder="1" applyProtection="1">
      <protection hidden="1"/>
    </xf>
    <xf numFmtId="164" fontId="9" fillId="12" borderId="1" xfId="0" applyNumberFormat="1" applyFont="1" applyFill="1" applyBorder="1" applyAlignment="1" applyProtection="1">
      <alignment horizontal="center"/>
      <protection hidden="1"/>
    </xf>
    <xf numFmtId="169" fontId="8" fillId="12" borderId="0" xfId="0" applyNumberFormat="1" applyFont="1" applyFill="1" applyProtection="1">
      <protection hidden="1"/>
    </xf>
    <xf numFmtId="0" fontId="36" fillId="12" borderId="1" xfId="0" applyFont="1" applyFill="1" applyBorder="1" applyProtection="1">
      <protection hidden="1"/>
    </xf>
    <xf numFmtId="168" fontId="9" fillId="12" borderId="1" xfId="0" applyNumberFormat="1" applyFont="1" applyFill="1" applyBorder="1" applyAlignment="1" applyProtection="1">
      <alignment horizontal="center"/>
      <protection hidden="1"/>
    </xf>
    <xf numFmtId="0" fontId="0" fillId="12" borderId="10" xfId="0" applyFill="1" applyBorder="1" applyProtection="1">
      <protection hidden="1"/>
    </xf>
    <xf numFmtId="169" fontId="0" fillId="12" borderId="7" xfId="0" applyNumberFormat="1" applyFill="1" applyBorder="1" applyProtection="1">
      <protection hidden="1"/>
    </xf>
    <xf numFmtId="0" fontId="0" fillId="12" borderId="7" xfId="0" applyFill="1" applyBorder="1" applyProtection="1">
      <protection hidden="1"/>
    </xf>
    <xf numFmtId="167" fontId="9" fillId="12" borderId="1" xfId="0" applyNumberFormat="1" applyFont="1" applyFill="1" applyBorder="1" applyAlignment="1" applyProtection="1">
      <alignment horizontal="center"/>
      <protection hidden="1"/>
    </xf>
    <xf numFmtId="165" fontId="9" fillId="12" borderId="1" xfId="0" applyNumberFormat="1" applyFont="1" applyFill="1" applyBorder="1" applyAlignment="1" applyProtection="1">
      <alignment horizontal="center"/>
      <protection hidden="1"/>
    </xf>
    <xf numFmtId="0" fontId="0" fillId="12" borderId="44" xfId="0" applyFill="1" applyBorder="1" applyProtection="1">
      <protection hidden="1"/>
    </xf>
    <xf numFmtId="0" fontId="0" fillId="12" borderId="46" xfId="0" applyFill="1" applyBorder="1" applyProtection="1">
      <protection hidden="1"/>
    </xf>
    <xf numFmtId="0" fontId="0" fillId="12" borderId="47" xfId="0" applyFill="1" applyBorder="1" applyProtection="1">
      <protection hidden="1"/>
    </xf>
    <xf numFmtId="0" fontId="0" fillId="12" borderId="48" xfId="0" applyFill="1" applyBorder="1" applyProtection="1">
      <protection hidden="1"/>
    </xf>
    <xf numFmtId="0" fontId="0" fillId="12" borderId="50" xfId="0" applyFill="1" applyBorder="1" applyProtection="1">
      <protection hidden="1"/>
    </xf>
    <xf numFmtId="0" fontId="0" fillId="12" borderId="51" xfId="0" applyFill="1" applyBorder="1" applyProtection="1">
      <protection hidden="1"/>
    </xf>
    <xf numFmtId="0" fontId="0" fillId="12" borderId="52" xfId="0" applyFill="1" applyBorder="1" applyProtection="1">
      <protection hidden="1"/>
    </xf>
    <xf numFmtId="0" fontId="0" fillId="12" borderId="53" xfId="0" applyFill="1" applyBorder="1" applyProtection="1">
      <protection hidden="1"/>
    </xf>
    <xf numFmtId="0" fontId="0" fillId="12" borderId="54" xfId="0" applyFill="1" applyBorder="1" applyProtection="1">
      <protection hidden="1"/>
    </xf>
    <xf numFmtId="0" fontId="0" fillId="0" borderId="44" xfId="0" applyBorder="1" applyProtection="1">
      <protection hidden="1"/>
    </xf>
    <xf numFmtId="0" fontId="0" fillId="0" borderId="46" xfId="0" applyBorder="1" applyProtection="1">
      <protection hidden="1"/>
    </xf>
    <xf numFmtId="0" fontId="0" fillId="0" borderId="49" xfId="0" applyBorder="1" applyProtection="1">
      <protection hidden="1"/>
    </xf>
    <xf numFmtId="0" fontId="0" fillId="0" borderId="51" xfId="0" applyBorder="1" applyProtection="1">
      <protection hidden="1"/>
    </xf>
    <xf numFmtId="0" fontId="14" fillId="0" borderId="55" xfId="0" applyFont="1" applyBorder="1" applyProtection="1">
      <protection hidden="1"/>
    </xf>
    <xf numFmtId="0" fontId="4" fillId="0" borderId="56" xfId="0" applyFont="1" applyBorder="1" applyProtection="1">
      <protection hidden="1"/>
    </xf>
    <xf numFmtId="0" fontId="4" fillId="0" borderId="50" xfId="0" applyFont="1" applyBorder="1" applyProtection="1">
      <protection hidden="1"/>
    </xf>
    <xf numFmtId="0" fontId="4" fillId="0" borderId="55" xfId="0" quotePrefix="1" applyFont="1" applyBorder="1" applyAlignment="1" applyProtection="1">
      <alignment horizontal="left"/>
      <protection hidden="1"/>
    </xf>
    <xf numFmtId="0" fontId="14" fillId="0" borderId="57" xfId="0" quotePrefix="1" applyFont="1" applyBorder="1" applyAlignment="1" applyProtection="1">
      <alignment horizontal="left"/>
      <protection hidden="1"/>
    </xf>
    <xf numFmtId="0" fontId="4" fillId="0" borderId="58" xfId="0" quotePrefix="1" applyFont="1" applyBorder="1" applyAlignment="1" applyProtection="1">
      <alignment horizontal="left"/>
      <protection hidden="1"/>
    </xf>
    <xf numFmtId="0" fontId="14" fillId="0" borderId="59" xfId="0" quotePrefix="1" applyFont="1" applyBorder="1" applyAlignment="1" applyProtection="1">
      <alignment horizontal="left"/>
      <protection hidden="1"/>
    </xf>
    <xf numFmtId="0" fontId="14" fillId="0" borderId="56" xfId="0" quotePrefix="1" applyFont="1" applyBorder="1" applyAlignment="1" applyProtection="1">
      <alignment horizontal="left"/>
      <protection hidden="1"/>
    </xf>
    <xf numFmtId="0" fontId="4" fillId="0" borderId="50" xfId="0" quotePrefix="1" applyFont="1" applyBorder="1" applyAlignment="1" applyProtection="1">
      <alignment horizontal="left"/>
      <protection hidden="1"/>
    </xf>
    <xf numFmtId="0" fontId="14" fillId="0" borderId="56" xfId="0" applyFont="1" applyBorder="1" applyAlignment="1" applyProtection="1">
      <alignment horizontal="left"/>
      <protection hidden="1"/>
    </xf>
    <xf numFmtId="0" fontId="4" fillId="0" borderId="56" xfId="0" applyFont="1" applyBorder="1" applyAlignment="1" applyProtection="1">
      <alignment horizontal="left"/>
      <protection hidden="1"/>
    </xf>
    <xf numFmtId="0" fontId="14" fillId="0" borderId="55" xfId="0" quotePrefix="1" applyFont="1" applyBorder="1" applyAlignment="1" applyProtection="1">
      <alignment horizontal="left"/>
      <protection hidden="1"/>
    </xf>
    <xf numFmtId="0" fontId="3" fillId="11" borderId="0" xfId="0" applyFont="1" applyFill="1" applyProtection="1">
      <protection hidden="1"/>
    </xf>
    <xf numFmtId="0" fontId="0" fillId="11" borderId="0" xfId="0" applyFill="1" applyProtection="1">
      <protection hidden="1"/>
    </xf>
    <xf numFmtId="0" fontId="4" fillId="11" borderId="25" xfId="0" applyFont="1" applyFill="1" applyBorder="1" applyAlignment="1" applyProtection="1">
      <alignment horizontal="center"/>
      <protection hidden="1"/>
    </xf>
    <xf numFmtId="0" fontId="6" fillId="11" borderId="25" xfId="0" applyFont="1" applyFill="1" applyBorder="1" applyAlignment="1" applyProtection="1">
      <alignment horizontal="center"/>
      <protection hidden="1"/>
    </xf>
    <xf numFmtId="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3" fillId="0" borderId="60" xfId="0" applyFont="1" applyBorder="1" applyProtection="1">
      <protection hidden="1"/>
    </xf>
    <xf numFmtId="0" fontId="0" fillId="0" borderId="63" xfId="0" applyBorder="1" applyProtection="1">
      <protection hidden="1"/>
    </xf>
    <xf numFmtId="0" fontId="4" fillId="0" borderId="63" xfId="0" applyFont="1" applyBorder="1" applyProtection="1">
      <protection hidden="1"/>
    </xf>
    <xf numFmtId="0" fontId="4" fillId="0" borderId="63" xfId="0" quotePrefix="1" applyFont="1" applyBorder="1" applyAlignment="1" applyProtection="1">
      <alignment horizontal="left"/>
      <protection hidden="1"/>
    </xf>
    <xf numFmtId="0" fontId="4" fillId="0" borderId="63" xfId="0" applyFont="1" applyBorder="1" applyAlignment="1" applyProtection="1">
      <alignment horizontal="left"/>
      <protection hidden="1"/>
    </xf>
    <xf numFmtId="0" fontId="4" fillId="0" borderId="65" xfId="0" applyFont="1" applyBorder="1" applyAlignment="1" applyProtection="1">
      <alignment horizontal="left"/>
      <protection hidden="1"/>
    </xf>
    <xf numFmtId="0" fontId="3" fillId="0" borderId="63" xfId="0" applyFont="1" applyBorder="1" applyProtection="1">
      <protection hidden="1"/>
    </xf>
    <xf numFmtId="0" fontId="5" fillId="0" borderId="0" xfId="0" applyFont="1"/>
    <xf numFmtId="0" fontId="0" fillId="0" borderId="0" xfId="0" applyAlignment="1">
      <alignment vertical="center"/>
    </xf>
    <xf numFmtId="0" fontId="15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19" fillId="0" borderId="0" xfId="0" applyFont="1"/>
    <xf numFmtId="0" fontId="0" fillId="12" borderId="49" xfId="0" applyFill="1" applyBorder="1"/>
    <xf numFmtId="2" fontId="0" fillId="0" borderId="0" xfId="0" applyNumberFormat="1"/>
    <xf numFmtId="167" fontId="0" fillId="0" borderId="0" xfId="0" applyNumberFormat="1"/>
    <xf numFmtId="0" fontId="0" fillId="0" borderId="12" xfId="0" applyBorder="1"/>
    <xf numFmtId="2" fontId="9" fillId="0" borderId="0" xfId="0" applyNumberFormat="1" applyFont="1" applyAlignment="1">
      <alignment horizontal="center"/>
    </xf>
    <xf numFmtId="0" fontId="0" fillId="0" borderId="51" xfId="0" applyBorder="1"/>
    <xf numFmtId="0" fontId="4" fillId="2" borderId="3" xfId="0" applyFont="1" applyFill="1" applyBorder="1"/>
    <xf numFmtId="0" fontId="0" fillId="0" borderId="61" xfId="0" applyBorder="1"/>
    <xf numFmtId="0" fontId="0" fillId="0" borderId="62" xfId="0" applyBorder="1"/>
    <xf numFmtId="0" fontId="4" fillId="5" borderId="2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0" fontId="0" fillId="5" borderId="8" xfId="0" applyFill="1" applyBorder="1"/>
    <xf numFmtId="0" fontId="0" fillId="0" borderId="64" xfId="0" applyBorder="1"/>
    <xf numFmtId="0" fontId="4" fillId="6" borderId="2" xfId="0" applyFont="1" applyFill="1" applyBorder="1" applyAlignment="1">
      <alignment horizontal="left"/>
    </xf>
    <xf numFmtId="0" fontId="4" fillId="6" borderId="8" xfId="0" applyFont="1" applyFill="1" applyBorder="1" applyAlignment="1">
      <alignment horizontal="left"/>
    </xf>
    <xf numFmtId="0" fontId="0" fillId="6" borderId="8" xfId="0" applyFill="1" applyBorder="1"/>
    <xf numFmtId="0" fontId="0" fillId="6" borderId="3" xfId="0" applyFill="1" applyBorder="1"/>
    <xf numFmtId="0" fontId="0" fillId="0" borderId="50" xfId="0" applyBorder="1"/>
    <xf numFmtId="0" fontId="3" fillId="0" borderId="50" xfId="0" applyFont="1" applyBorder="1"/>
    <xf numFmtId="0" fontId="4" fillId="2" borderId="8" xfId="0" applyFont="1" applyFill="1" applyBorder="1" applyAlignment="1">
      <alignment horizontal="left"/>
    </xf>
    <xf numFmtId="0" fontId="0" fillId="2" borderId="8" xfId="0" applyFill="1" applyBorder="1"/>
    <xf numFmtId="0" fontId="4" fillId="0" borderId="0" xfId="0" applyFont="1" applyAlignment="1">
      <alignment horizontal="left"/>
    </xf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4" fillId="2" borderId="8" xfId="0" applyFont="1" applyFill="1" applyBorder="1"/>
    <xf numFmtId="0" fontId="4" fillId="0" borderId="66" xfId="0" applyFont="1" applyBorder="1" applyAlignment="1">
      <alignment horizontal="left"/>
    </xf>
    <xf numFmtId="0" fontId="0" fillId="0" borderId="66" xfId="0" applyBorder="1"/>
    <xf numFmtId="0" fontId="0" fillId="0" borderId="67" xfId="0" applyBorder="1"/>
    <xf numFmtId="0" fontId="0" fillId="2" borderId="3" xfId="0" applyFill="1" applyBorder="1"/>
    <xf numFmtId="0" fontId="0" fillId="13" borderId="5" xfId="0" applyFill="1" applyBorder="1"/>
    <xf numFmtId="0" fontId="0" fillId="13" borderId="0" xfId="0" applyFill="1"/>
    <xf numFmtId="0" fontId="0" fillId="13" borderId="7" xfId="0" applyFill="1" applyBorder="1"/>
    <xf numFmtId="166" fontId="0" fillId="13" borderId="0" xfId="0" applyNumberFormat="1" applyFill="1"/>
    <xf numFmtId="0" fontId="3" fillId="0" borderId="70" xfId="0" applyFont="1" applyBorder="1"/>
    <xf numFmtId="0" fontId="3" fillId="0" borderId="70" xfId="0" applyFont="1" applyBorder="1" applyAlignment="1">
      <alignment vertical="center"/>
    </xf>
    <xf numFmtId="0" fontId="3" fillId="0" borderId="71" xfId="0" applyFont="1" applyBorder="1"/>
    <xf numFmtId="0" fontId="3" fillId="0" borderId="74" xfId="0" applyFont="1" applyBorder="1"/>
    <xf numFmtId="0" fontId="3" fillId="0" borderId="76" xfId="0" applyFont="1" applyBorder="1"/>
    <xf numFmtId="0" fontId="3" fillId="0" borderId="68" xfId="0" applyFont="1" applyBorder="1"/>
    <xf numFmtId="2" fontId="0" fillId="0" borderId="69" xfId="0" applyNumberFormat="1" applyBorder="1" applyAlignment="1" applyProtection="1">
      <alignment vertical="center"/>
      <protection hidden="1"/>
    </xf>
    <xf numFmtId="166" fontId="3" fillId="0" borderId="69" xfId="0" applyNumberFormat="1" applyFont="1" applyBorder="1" applyAlignment="1" applyProtection="1">
      <alignment vertical="center"/>
      <protection hidden="1"/>
    </xf>
    <xf numFmtId="166" fontId="3" fillId="0" borderId="71" xfId="0" applyNumberFormat="1" applyFont="1" applyBorder="1" applyAlignment="1" applyProtection="1">
      <alignment vertical="center"/>
      <protection hidden="1"/>
    </xf>
    <xf numFmtId="166" fontId="0" fillId="0" borderId="69" xfId="0" applyNumberFormat="1" applyBorder="1" applyAlignment="1" applyProtection="1">
      <alignment vertical="center"/>
      <protection hidden="1"/>
    </xf>
    <xf numFmtId="0" fontId="3" fillId="0" borderId="84" xfId="0" applyFont="1" applyBorder="1"/>
    <xf numFmtId="0" fontId="3" fillId="0" borderId="74" xfId="0" applyFont="1" applyBorder="1" applyAlignment="1">
      <alignment vertical="center"/>
    </xf>
    <xf numFmtId="166" fontId="3" fillId="0" borderId="84" xfId="0" applyNumberFormat="1" applyFont="1" applyBorder="1" applyAlignment="1" applyProtection="1">
      <alignment vertical="center"/>
      <protection hidden="1"/>
    </xf>
    <xf numFmtId="2" fontId="0" fillId="12" borderId="71" xfId="0" applyNumberFormat="1" applyFill="1" applyBorder="1" applyAlignment="1" applyProtection="1">
      <alignment horizontal="center" vertical="center"/>
      <protection hidden="1"/>
    </xf>
    <xf numFmtId="2" fontId="0" fillId="12" borderId="84" xfId="0" applyNumberFormat="1" applyFill="1" applyBorder="1" applyAlignment="1" applyProtection="1">
      <alignment horizontal="center" vertical="center"/>
      <protection hidden="1"/>
    </xf>
    <xf numFmtId="0" fontId="5" fillId="12" borderId="71" xfId="0" quotePrefix="1" applyFont="1" applyFill="1" applyBorder="1" applyAlignment="1" applyProtection="1">
      <alignment horizontal="center" vertical="center"/>
      <protection hidden="1"/>
    </xf>
    <xf numFmtId="166" fontId="3" fillId="12" borderId="71" xfId="0" applyNumberFormat="1" applyFont="1" applyFill="1" applyBorder="1" applyAlignment="1" applyProtection="1">
      <alignment horizontal="center" vertical="center"/>
      <protection hidden="1"/>
    </xf>
    <xf numFmtId="0" fontId="45" fillId="0" borderId="84" xfId="0" applyFont="1" applyBorder="1"/>
    <xf numFmtId="0" fontId="3" fillId="0" borderId="87" xfId="0" applyFont="1" applyBorder="1"/>
    <xf numFmtId="0" fontId="0" fillId="0" borderId="5" xfId="0" applyBorder="1"/>
    <xf numFmtId="0" fontId="4" fillId="0" borderId="5" xfId="0" applyFont="1" applyBorder="1"/>
    <xf numFmtId="0" fontId="3" fillId="0" borderId="11" xfId="0" applyFont="1" applyBorder="1" applyAlignment="1">
      <alignment horizontal="left"/>
    </xf>
    <xf numFmtId="0" fontId="3" fillId="0" borderId="21" xfId="0" applyFont="1" applyBorder="1"/>
    <xf numFmtId="0" fontId="3" fillId="0" borderId="5" xfId="0" applyFont="1" applyBorder="1" applyAlignment="1">
      <alignment horizontal="right"/>
    </xf>
    <xf numFmtId="0" fontId="3" fillId="0" borderId="0" xfId="0" applyFont="1"/>
    <xf numFmtId="0" fontId="20" fillId="12" borderId="80" xfId="0" applyFont="1" applyFill="1" applyBorder="1" applyAlignment="1" applyProtection="1">
      <alignment vertical="center"/>
      <protection hidden="1"/>
    </xf>
    <xf numFmtId="0" fontId="4" fillId="12" borderId="0" xfId="0" applyFont="1" applyFill="1" applyAlignment="1">
      <alignment vertical="center"/>
    </xf>
    <xf numFmtId="1" fontId="4" fillId="12" borderId="0" xfId="0" applyNumberFormat="1" applyFont="1" applyFill="1" applyAlignment="1" applyProtection="1">
      <alignment horizontal="left" vertical="center"/>
      <protection locked="0"/>
    </xf>
    <xf numFmtId="2" fontId="4" fillId="12" borderId="0" xfId="0" applyNumberFormat="1" applyFont="1" applyFill="1" applyAlignment="1">
      <alignment horizontal="left" vertical="center"/>
    </xf>
    <xf numFmtId="0" fontId="20" fillId="12" borderId="0" xfId="0" applyFont="1" applyFill="1" applyAlignment="1">
      <alignment horizontal="left"/>
    </xf>
    <xf numFmtId="0" fontId="30" fillId="12" borderId="0" xfId="0" applyFont="1" applyFill="1" applyAlignment="1">
      <alignment horizontal="right"/>
    </xf>
    <xf numFmtId="0" fontId="20" fillId="12" borderId="80" xfId="0" applyFont="1" applyFill="1" applyBorder="1" applyAlignment="1" applyProtection="1">
      <alignment horizontal="left" vertical="center"/>
      <protection hidden="1"/>
    </xf>
    <xf numFmtId="0" fontId="4" fillId="12" borderId="0" xfId="0" applyFont="1" applyFill="1" applyAlignment="1">
      <alignment horizontal="left" vertical="center"/>
    </xf>
    <xf numFmtId="2" fontId="9" fillId="12" borderId="0" xfId="0" applyNumberFormat="1" applyFont="1" applyFill="1" applyAlignment="1">
      <alignment horizontal="left" vertical="center"/>
    </xf>
    <xf numFmtId="0" fontId="20" fillId="12" borderId="0" xfId="0" applyFont="1" applyFill="1" applyAlignment="1">
      <alignment horizontal="left" vertical="center"/>
    </xf>
    <xf numFmtId="0" fontId="30" fillId="12" borderId="0" xfId="0" applyFont="1" applyFill="1" applyAlignment="1">
      <alignment horizontal="right" vertical="center"/>
    </xf>
    <xf numFmtId="0" fontId="2" fillId="12" borderId="80" xfId="0" applyFont="1" applyFill="1" applyBorder="1" applyAlignment="1" applyProtection="1">
      <alignment horizontal="left" vertical="center"/>
      <protection hidden="1"/>
    </xf>
    <xf numFmtId="0" fontId="34" fillId="12" borderId="0" xfId="0" quotePrefix="1" applyFont="1" applyFill="1" applyAlignment="1">
      <alignment horizontal="right" vertical="center"/>
    </xf>
    <xf numFmtId="0" fontId="2" fillId="12" borderId="80" xfId="0" applyFont="1" applyFill="1" applyBorder="1" applyAlignment="1">
      <alignment horizontal="left" vertical="center"/>
    </xf>
    <xf numFmtId="0" fontId="35" fillId="12" borderId="80" xfId="0" applyFont="1" applyFill="1" applyBorder="1" applyAlignment="1" applyProtection="1">
      <alignment vertical="center"/>
      <protection hidden="1"/>
    </xf>
    <xf numFmtId="0" fontId="33" fillId="12" borderId="0" xfId="0" applyFont="1" applyFill="1" applyAlignment="1" applyProtection="1">
      <alignment vertical="center"/>
      <protection hidden="1"/>
    </xf>
    <xf numFmtId="0" fontId="5" fillId="12" borderId="0" xfId="0" applyFont="1" applyFill="1" applyAlignment="1" applyProtection="1">
      <alignment vertical="center"/>
      <protection hidden="1"/>
    </xf>
    <xf numFmtId="0" fontId="29" fillId="12" borderId="0" xfId="0" applyFont="1" applyFill="1" applyAlignment="1">
      <alignment horizontal="right" vertical="center"/>
    </xf>
    <xf numFmtId="0" fontId="3" fillId="12" borderId="0" xfId="0" applyFont="1" applyFill="1" applyAlignment="1" applyProtection="1">
      <alignment horizontal="right" vertical="center"/>
      <protection hidden="1"/>
    </xf>
    <xf numFmtId="0" fontId="3" fillId="12" borderId="0" xfId="0" quotePrefix="1" applyFont="1" applyFill="1" applyAlignment="1" applyProtection="1">
      <alignment horizontal="right" vertical="center"/>
      <protection hidden="1"/>
    </xf>
    <xf numFmtId="0" fontId="32" fillId="12" borderId="80" xfId="0" applyFont="1" applyFill="1" applyBorder="1" applyAlignment="1" applyProtection="1">
      <alignment horizontal="left" vertical="center"/>
      <protection hidden="1"/>
    </xf>
    <xf numFmtId="0" fontId="3" fillId="12" borderId="0" xfId="0" applyFont="1" applyFill="1" applyAlignment="1">
      <alignment vertical="center"/>
    </xf>
    <xf numFmtId="0" fontId="3" fillId="12" borderId="0" xfId="0" applyFont="1" applyFill="1" applyAlignment="1">
      <alignment horizontal="left"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 applyAlignment="1">
      <alignment horizontal="right" vertical="center"/>
    </xf>
    <xf numFmtId="0" fontId="3" fillId="12" borderId="0" xfId="0" applyFont="1" applyFill="1"/>
    <xf numFmtId="0" fontId="3" fillId="12" borderId="80" xfId="0" applyFont="1" applyFill="1" applyBorder="1" applyProtection="1">
      <protection hidden="1"/>
    </xf>
    <xf numFmtId="166" fontId="3" fillId="12" borderId="0" xfId="0" applyNumberFormat="1" applyFont="1" applyFill="1" applyAlignment="1" applyProtection="1">
      <alignment horizontal="center" vertical="center"/>
      <protection hidden="1"/>
    </xf>
    <xf numFmtId="165" fontId="2" fillId="12" borderId="0" xfId="0" applyNumberFormat="1" applyFont="1" applyFill="1" applyAlignment="1" applyProtection="1">
      <alignment horizontal="center" vertical="center"/>
      <protection hidden="1"/>
    </xf>
    <xf numFmtId="166" fontId="2" fillId="12" borderId="0" xfId="0" applyNumberFormat="1" applyFont="1" applyFill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vertical="center"/>
      <protection hidden="1"/>
    </xf>
    <xf numFmtId="0" fontId="4" fillId="4" borderId="16" xfId="0" applyFont="1" applyFill="1" applyBorder="1" applyAlignment="1" applyProtection="1">
      <alignment horizontal="left"/>
      <protection hidden="1"/>
    </xf>
    <xf numFmtId="0" fontId="3" fillId="12" borderId="0" xfId="0" quotePrefix="1" applyFont="1" applyFill="1" applyAlignment="1" applyProtection="1">
      <alignment horizontal="left" vertical="center"/>
      <protection hidden="1"/>
    </xf>
    <xf numFmtId="0" fontId="3" fillId="12" borderId="0" xfId="0" applyFont="1" applyFill="1" applyAlignment="1" applyProtection="1">
      <alignment horizontal="left" vertical="center"/>
      <protection hidden="1"/>
    </xf>
    <xf numFmtId="0" fontId="51" fillId="12" borderId="0" xfId="0" applyFont="1" applyFill="1" applyAlignment="1" applyProtection="1">
      <alignment horizontal="left" vertical="center"/>
      <protection hidden="1"/>
    </xf>
    <xf numFmtId="0" fontId="31" fillId="12" borderId="0" xfId="0" quotePrefix="1" applyFont="1" applyFill="1" applyAlignment="1" applyProtection="1">
      <alignment horizontal="right" vertical="center"/>
      <protection hidden="1"/>
    </xf>
    <xf numFmtId="0" fontId="3" fillId="13" borderId="0" xfId="0" applyFont="1" applyFill="1"/>
    <xf numFmtId="0" fontId="4" fillId="13" borderId="5" xfId="0" applyFont="1" applyFill="1" applyBorder="1"/>
    <xf numFmtId="0" fontId="4" fillId="13" borderId="0" xfId="0" applyFont="1" applyFill="1"/>
    <xf numFmtId="0" fontId="3" fillId="14" borderId="0" xfId="0" applyFont="1" applyFill="1" applyAlignment="1">
      <alignment vertical="center"/>
    </xf>
    <xf numFmtId="0" fontId="0" fillId="14" borderId="0" xfId="0" applyFill="1" applyAlignment="1">
      <alignment vertical="center"/>
    </xf>
    <xf numFmtId="0" fontId="0" fillId="14" borderId="7" xfId="0" applyFill="1" applyBorder="1" applyAlignment="1">
      <alignment vertical="center"/>
    </xf>
    <xf numFmtId="0" fontId="3" fillId="14" borderId="7" xfId="0" applyFont="1" applyFill="1" applyBorder="1" applyAlignment="1">
      <alignment vertical="center"/>
    </xf>
    <xf numFmtId="0" fontId="0" fillId="0" borderId="105" xfId="0" applyBorder="1"/>
    <xf numFmtId="0" fontId="0" fillId="0" borderId="106" xfId="0" applyBorder="1"/>
    <xf numFmtId="0" fontId="0" fillId="0" borderId="106" xfId="0" applyBorder="1" applyAlignment="1">
      <alignment horizontal="center"/>
    </xf>
    <xf numFmtId="0" fontId="0" fillId="0" borderId="107" xfId="0" applyBorder="1"/>
    <xf numFmtId="0" fontId="0" fillId="0" borderId="108" xfId="0" applyBorder="1"/>
    <xf numFmtId="0" fontId="0" fillId="0" borderId="108" xfId="0" applyBorder="1" applyAlignment="1">
      <alignment horizontal="center"/>
    </xf>
    <xf numFmtId="0" fontId="0" fillId="0" borderId="109" xfId="0" applyBorder="1"/>
    <xf numFmtId="0" fontId="0" fillId="0" borderId="110" xfId="0" applyBorder="1"/>
    <xf numFmtId="0" fontId="0" fillId="0" borderId="110" xfId="0" applyBorder="1" applyAlignment="1">
      <alignment horizontal="center"/>
    </xf>
    <xf numFmtId="0" fontId="0" fillId="0" borderId="111" xfId="0" applyBorder="1"/>
    <xf numFmtId="0" fontId="0" fillId="0" borderId="112" xfId="0" applyBorder="1"/>
    <xf numFmtId="0" fontId="0" fillId="0" borderId="112" xfId="0" applyBorder="1" applyAlignment="1">
      <alignment horizontal="center"/>
    </xf>
    <xf numFmtId="0" fontId="0" fillId="13" borderId="38" xfId="0" applyFill="1" applyBorder="1"/>
    <xf numFmtId="0" fontId="0" fillId="13" borderId="80" xfId="0" applyFill="1" applyBorder="1"/>
    <xf numFmtId="0" fontId="0" fillId="13" borderId="37" xfId="0" applyFill="1" applyBorder="1"/>
    <xf numFmtId="0" fontId="0" fillId="13" borderId="29" xfId="0" applyFill="1" applyBorder="1"/>
    <xf numFmtId="0" fontId="22" fillId="13" borderId="21" xfId="0" applyFont="1" applyFill="1" applyBorder="1"/>
    <xf numFmtId="0" fontId="0" fillId="0" borderId="113" xfId="0" applyBorder="1"/>
    <xf numFmtId="0" fontId="0" fillId="0" borderId="114" xfId="0" applyBorder="1"/>
    <xf numFmtId="0" fontId="3" fillId="13" borderId="80" xfId="0" applyFont="1" applyFill="1" applyBorder="1"/>
    <xf numFmtId="0" fontId="0" fillId="0" borderId="115" xfId="0" applyBorder="1"/>
    <xf numFmtId="0" fontId="0" fillId="0" borderId="116" xfId="0" applyBorder="1"/>
    <xf numFmtId="0" fontId="4" fillId="0" borderId="2" xfId="0" applyFont="1" applyBorder="1"/>
    <xf numFmtId="0" fontId="0" fillId="0" borderId="8" xfId="0" applyBorder="1"/>
    <xf numFmtId="0" fontId="3" fillId="13" borderId="80" xfId="0" quotePrefix="1" applyFont="1" applyFill="1" applyBorder="1"/>
    <xf numFmtId="0" fontId="0" fillId="0" borderId="117" xfId="0" applyBorder="1"/>
    <xf numFmtId="0" fontId="0" fillId="0" borderId="117" xfId="0" applyBorder="1" applyAlignment="1">
      <alignment horizontal="center"/>
    </xf>
    <xf numFmtId="0" fontId="0" fillId="0" borderId="119" xfId="0" applyBorder="1"/>
    <xf numFmtId="0" fontId="0" fillId="0" borderId="119" xfId="0" applyBorder="1" applyAlignment="1">
      <alignment horizontal="center"/>
    </xf>
    <xf numFmtId="0" fontId="0" fillId="0" borderId="120" xfId="0" applyBorder="1"/>
    <xf numFmtId="164" fontId="0" fillId="13" borderId="0" xfId="0" applyNumberFormat="1" applyFill="1"/>
    <xf numFmtId="165" fontId="3" fillId="13" borderId="0" xfId="0" applyNumberFormat="1" applyFont="1" applyFill="1"/>
    <xf numFmtId="166" fontId="0" fillId="13" borderId="0" xfId="0" applyNumberFormat="1" applyFill="1" applyAlignment="1">
      <alignment horizontal="right"/>
    </xf>
    <xf numFmtId="2" fontId="0" fillId="14" borderId="0" xfId="0" applyNumberFormat="1" applyFill="1" applyAlignment="1">
      <alignment vertical="center"/>
    </xf>
    <xf numFmtId="2" fontId="0" fillId="14" borderId="7" xfId="0" applyNumberFormat="1" applyFill="1" applyBorder="1" applyAlignment="1">
      <alignment horizontal="right" vertical="center"/>
    </xf>
    <xf numFmtId="0" fontId="38" fillId="0" borderId="82" xfId="0" quotePrefix="1" applyFont="1" applyBorder="1" applyAlignment="1" applyProtection="1">
      <alignment horizontal="center" vertical="center" wrapText="1"/>
      <protection hidden="1"/>
    </xf>
    <xf numFmtId="0" fontId="45" fillId="0" borderId="0" xfId="0" applyFont="1"/>
    <xf numFmtId="0" fontId="3" fillId="0" borderId="1" xfId="0" applyFont="1" applyBorder="1" applyAlignment="1">
      <alignment horizontal="center" vertical="center"/>
    </xf>
    <xf numFmtId="0" fontId="58" fillId="0" borderId="0" xfId="1" applyFont="1"/>
    <xf numFmtId="0" fontId="59" fillId="0" borderId="0" xfId="1" applyFont="1"/>
    <xf numFmtId="0" fontId="60" fillId="0" borderId="0" xfId="1" applyFont="1"/>
    <xf numFmtId="0" fontId="60" fillId="0" borderId="0" xfId="1" applyFont="1" applyAlignment="1">
      <alignment horizontal="left"/>
    </xf>
    <xf numFmtId="0" fontId="61" fillId="0" borderId="0" xfId="1" applyFont="1"/>
    <xf numFmtId="0" fontId="60" fillId="0" borderId="0" xfId="1" quotePrefix="1" applyFont="1" applyAlignment="1">
      <alignment horizontal="left"/>
    </xf>
    <xf numFmtId="0" fontId="62" fillId="18" borderId="1" xfId="1" applyFont="1" applyFill="1" applyBorder="1"/>
    <xf numFmtId="0" fontId="58" fillId="0" borderId="1" xfId="1" applyFont="1" applyBorder="1"/>
    <xf numFmtId="0" fontId="58" fillId="0" borderId="1" xfId="1" quotePrefix="1" applyFont="1" applyBorder="1"/>
    <xf numFmtId="14" fontId="58" fillId="0" borderId="1" xfId="1" applyNumberFormat="1" applyFont="1" applyBorder="1"/>
    <xf numFmtId="0" fontId="58" fillId="0" borderId="1" xfId="1" applyFont="1" applyBorder="1" applyAlignment="1">
      <alignment wrapText="1"/>
    </xf>
    <xf numFmtId="0" fontId="53" fillId="12" borderId="80" xfId="0" applyFont="1" applyFill="1" applyBorder="1" applyAlignment="1" applyProtection="1">
      <alignment vertical="center" wrapText="1"/>
      <protection hidden="1"/>
    </xf>
    <xf numFmtId="0" fontId="53" fillId="12" borderId="0" xfId="0" applyFont="1" applyFill="1" applyAlignment="1" applyProtection="1">
      <alignment vertical="center" wrapText="1"/>
      <protection hidden="1"/>
    </xf>
    <xf numFmtId="0" fontId="0" fillId="0" borderId="1" xfId="0" applyBorder="1" applyAlignment="1">
      <alignment horizontal="center" vertical="center"/>
    </xf>
    <xf numFmtId="0" fontId="0" fillId="0" borderId="125" xfId="0" applyBorder="1"/>
    <xf numFmtId="0" fontId="4" fillId="0" borderId="117" xfId="0" applyFont="1" applyBorder="1" applyAlignment="1">
      <alignment vertical="top" wrapText="1"/>
    </xf>
    <xf numFmtId="0" fontId="4" fillId="0" borderId="118" xfId="0" applyFont="1" applyBorder="1" applyAlignment="1">
      <alignment vertical="top" wrapText="1"/>
    </xf>
    <xf numFmtId="0" fontId="0" fillId="0" borderId="126" xfId="0" applyBorder="1"/>
    <xf numFmtId="0" fontId="0" fillId="0" borderId="119" xfId="0" applyBorder="1" applyAlignment="1">
      <alignment horizontal="left"/>
    </xf>
    <xf numFmtId="0" fontId="0" fillId="0" borderId="126" xfId="0" applyBorder="1" applyAlignment="1">
      <alignment vertical="center"/>
    </xf>
    <xf numFmtId="0" fontId="0" fillId="0" borderId="119" xfId="0" applyBorder="1" applyAlignment="1">
      <alignment vertical="center"/>
    </xf>
    <xf numFmtId="0" fontId="0" fillId="0" borderId="120" xfId="0" applyBorder="1" applyAlignment="1">
      <alignment vertical="center"/>
    </xf>
    <xf numFmtId="0" fontId="3" fillId="0" borderId="41" xfId="0" applyFont="1" applyBorder="1" applyAlignment="1">
      <alignment horizontal="left" vertical="center"/>
    </xf>
    <xf numFmtId="0" fontId="3" fillId="0" borderId="82" xfId="0" applyFont="1" applyBorder="1" applyAlignment="1">
      <alignment horizontal="left" vertical="center"/>
    </xf>
    <xf numFmtId="0" fontId="3" fillId="0" borderId="4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31" xfId="0" applyFont="1" applyBorder="1" applyAlignment="1">
      <alignment horizontal="left" vertical="center"/>
    </xf>
    <xf numFmtId="0" fontId="3" fillId="0" borderId="34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2" fontId="0" fillId="0" borderId="1" xfId="0" applyNumberFormat="1" applyBorder="1"/>
    <xf numFmtId="165" fontId="0" fillId="0" borderId="1" xfId="0" applyNumberFormat="1" applyBorder="1"/>
    <xf numFmtId="0" fontId="39" fillId="0" borderId="11" xfId="0" applyFont="1" applyBorder="1"/>
    <xf numFmtId="0" fontId="39" fillId="0" borderId="36" xfId="0" applyFont="1" applyBorder="1"/>
    <xf numFmtId="0" fontId="0" fillId="0" borderId="9" xfId="0" applyBorder="1"/>
    <xf numFmtId="0" fontId="0" fillId="0" borderId="92" xfId="0" applyBorder="1"/>
    <xf numFmtId="0" fontId="0" fillId="0" borderId="6" xfId="0" applyBorder="1"/>
    <xf numFmtId="0" fontId="0" fillId="0" borderId="37" xfId="0" applyBorder="1"/>
    <xf numFmtId="0" fontId="39" fillId="0" borderId="90" xfId="0" applyFont="1" applyBorder="1"/>
    <xf numFmtId="0" fontId="39" fillId="0" borderId="91" xfId="0" applyFont="1" applyBorder="1"/>
    <xf numFmtId="0" fontId="39" fillId="0" borderId="41" xfId="0" applyFont="1" applyBorder="1"/>
    <xf numFmtId="0" fontId="39" fillId="0" borderId="42" xfId="0" applyFont="1" applyBorder="1"/>
    <xf numFmtId="166" fontId="3" fillId="19" borderId="69" xfId="0" applyNumberFormat="1" applyFont="1" applyFill="1" applyBorder="1" applyAlignment="1" applyProtection="1">
      <alignment horizontal="right" vertical="center"/>
      <protection locked="0"/>
    </xf>
    <xf numFmtId="166" fontId="0" fillId="19" borderId="69" xfId="0" applyNumberFormat="1" applyFill="1" applyBorder="1" applyAlignment="1" applyProtection="1">
      <alignment horizontal="right"/>
      <protection locked="0"/>
    </xf>
    <xf numFmtId="166" fontId="3" fillId="19" borderId="69" xfId="0" applyNumberFormat="1" applyFont="1" applyFill="1" applyBorder="1" applyProtection="1">
      <protection locked="0"/>
    </xf>
    <xf numFmtId="166" fontId="0" fillId="19" borderId="69" xfId="0" applyNumberFormat="1" applyFill="1" applyBorder="1" applyProtection="1">
      <protection locked="0"/>
    </xf>
    <xf numFmtId="166" fontId="3" fillId="19" borderId="75" xfId="0" applyNumberFormat="1" applyFont="1" applyFill="1" applyBorder="1" applyAlignment="1" applyProtection="1">
      <alignment horizontal="right" vertical="center"/>
      <protection locked="0"/>
    </xf>
    <xf numFmtId="166" fontId="0" fillId="19" borderId="69" xfId="0" applyNumberFormat="1" applyFill="1" applyBorder="1" applyAlignment="1" applyProtection="1">
      <alignment horizontal="right" vertical="center"/>
      <protection locked="0"/>
    </xf>
    <xf numFmtId="166" fontId="0" fillId="19" borderId="86" xfId="0" applyNumberFormat="1" applyFill="1" applyBorder="1" applyAlignment="1" applyProtection="1">
      <alignment horizontal="right" vertical="center"/>
      <protection locked="0"/>
    </xf>
    <xf numFmtId="0" fontId="0" fillId="20" borderId="127" xfId="0" applyFill="1" applyBorder="1"/>
    <xf numFmtId="0" fontId="0" fillId="20" borderId="127" xfId="0" applyFill="1" applyBorder="1" applyProtection="1">
      <protection hidden="1"/>
    </xf>
    <xf numFmtId="0" fontId="0" fillId="0" borderId="8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29" xfId="0" applyBorder="1"/>
    <xf numFmtId="0" fontId="0" fillId="13" borderId="128" xfId="0" applyFill="1" applyBorder="1"/>
    <xf numFmtId="0" fontId="0" fillId="13" borderId="129" xfId="0" applyFill="1" applyBorder="1"/>
    <xf numFmtId="0" fontId="3" fillId="13" borderId="129" xfId="0" applyFont="1" applyFill="1" applyBorder="1"/>
    <xf numFmtId="0" fontId="3" fillId="13" borderId="130" xfId="0" applyFont="1" applyFill="1" applyBorder="1"/>
    <xf numFmtId="2" fontId="0" fillId="13" borderId="131" xfId="0" applyNumberFormat="1" applyFill="1" applyBorder="1"/>
    <xf numFmtId="0" fontId="3" fillId="13" borderId="131" xfId="0" applyFont="1" applyFill="1" applyBorder="1"/>
    <xf numFmtId="0" fontId="0" fillId="13" borderId="131" xfId="0" applyFill="1" applyBorder="1"/>
    <xf numFmtId="2" fontId="0" fillId="13" borderId="133" xfId="0" applyNumberFormat="1" applyFill="1" applyBorder="1"/>
    <xf numFmtId="0" fontId="3" fillId="13" borderId="133" xfId="0" applyFont="1" applyFill="1" applyBorder="1"/>
    <xf numFmtId="0" fontId="0" fillId="13" borderId="133" xfId="0" applyFill="1" applyBorder="1"/>
    <xf numFmtId="0" fontId="3" fillId="13" borderId="130" xfId="0" applyFont="1" applyFill="1" applyBorder="1" applyAlignment="1">
      <alignment vertical="center"/>
    </xf>
    <xf numFmtId="2" fontId="0" fillId="13" borderId="131" xfId="0" applyNumberFormat="1" applyFill="1" applyBorder="1" applyAlignment="1">
      <alignment vertical="center"/>
    </xf>
    <xf numFmtId="0" fontId="3" fillId="13" borderId="131" xfId="0" applyFont="1" applyFill="1" applyBorder="1" applyAlignment="1">
      <alignment vertical="center"/>
    </xf>
    <xf numFmtId="0" fontId="0" fillId="13" borderId="131" xfId="0" applyFill="1" applyBorder="1" applyAlignment="1">
      <alignment vertical="center"/>
    </xf>
    <xf numFmtId="2" fontId="3" fillId="13" borderId="131" xfId="0" applyNumberFormat="1" applyFont="1" applyFill="1" applyBorder="1" applyAlignment="1">
      <alignment vertical="center"/>
    </xf>
    <xf numFmtId="0" fontId="3" fillId="13" borderId="132" xfId="0" applyFont="1" applyFill="1" applyBorder="1" applyAlignment="1">
      <alignment vertical="center"/>
    </xf>
    <xf numFmtId="2" fontId="0" fillId="13" borderId="133" xfId="0" applyNumberFormat="1" applyFill="1" applyBorder="1" applyAlignment="1">
      <alignment vertical="center"/>
    </xf>
    <xf numFmtId="0" fontId="3" fillId="13" borderId="133" xfId="0" applyFont="1" applyFill="1" applyBorder="1" applyAlignment="1">
      <alignment vertical="center"/>
    </xf>
    <xf numFmtId="0" fontId="0" fillId="13" borderId="133" xfId="0" applyFill="1" applyBorder="1" applyAlignment="1">
      <alignment vertical="center"/>
    </xf>
    <xf numFmtId="0" fontId="3" fillId="13" borderId="128" xfId="0" applyFont="1" applyFill="1" applyBorder="1"/>
    <xf numFmtId="164" fontId="0" fillId="13" borderId="129" xfId="0" applyNumberFormat="1" applyFill="1" applyBorder="1"/>
    <xf numFmtId="0" fontId="3" fillId="13" borderId="134" xfId="0" applyFont="1" applyFill="1" applyBorder="1" applyAlignment="1">
      <alignment vertical="center"/>
    </xf>
    <xf numFmtId="0" fontId="0" fillId="13" borderId="135" xfId="0" applyFill="1" applyBorder="1"/>
    <xf numFmtId="0" fontId="3" fillId="13" borderId="135" xfId="0" applyFont="1" applyFill="1" applyBorder="1" applyAlignment="1">
      <alignment vertical="center"/>
    </xf>
    <xf numFmtId="0" fontId="0" fillId="0" borderId="136" xfId="0" applyBorder="1"/>
    <xf numFmtId="0" fontId="0" fillId="0" borderId="136" xfId="0" applyBorder="1" applyAlignment="1">
      <alignment horizontal="center"/>
    </xf>
    <xf numFmtId="0" fontId="0" fillId="0" borderId="137" xfId="0" applyBorder="1"/>
    <xf numFmtId="0" fontId="0" fillId="0" borderId="138" xfId="0" applyBorder="1"/>
    <xf numFmtId="0" fontId="0" fillId="0" borderId="138" xfId="0" applyBorder="1" applyAlignment="1">
      <alignment horizontal="center"/>
    </xf>
    <xf numFmtId="0" fontId="0" fillId="0" borderId="82" xfId="0" applyBorder="1"/>
    <xf numFmtId="0" fontId="0" fillId="0" borderId="83" xfId="0" applyBorder="1"/>
    <xf numFmtId="0" fontId="0" fillId="0" borderId="139" xfId="0" applyBorder="1"/>
    <xf numFmtId="0" fontId="0" fillId="0" borderId="139" xfId="0" applyBorder="1" applyAlignment="1">
      <alignment horizontal="center"/>
    </xf>
    <xf numFmtId="0" fontId="0" fillId="0" borderId="140" xfId="0" applyBorder="1"/>
    <xf numFmtId="0" fontId="0" fillId="0" borderId="140" xfId="0" applyBorder="1" applyAlignment="1">
      <alignment horizontal="center"/>
    </xf>
    <xf numFmtId="0" fontId="0" fillId="0" borderId="38" xfId="0" applyBorder="1"/>
    <xf numFmtId="0" fontId="3" fillId="0" borderId="33" xfId="0" applyFont="1" applyBorder="1"/>
    <xf numFmtId="0" fontId="0" fillId="13" borderId="14" xfId="0" applyFill="1" applyBorder="1"/>
    <xf numFmtId="2" fontId="0" fillId="13" borderId="135" xfId="0" applyNumberFormat="1" applyFill="1" applyBorder="1" applyAlignment="1">
      <alignment vertical="center"/>
    </xf>
    <xf numFmtId="0" fontId="0" fillId="0" borderId="38" xfId="0" applyBorder="1" applyAlignment="1">
      <alignment horizontal="center"/>
    </xf>
    <xf numFmtId="0" fontId="0" fillId="0" borderId="33" xfId="0" applyBorder="1"/>
    <xf numFmtId="0" fontId="2" fillId="13" borderId="131" xfId="0" applyFont="1" applyFill="1" applyBorder="1" applyAlignment="1">
      <alignment vertical="center"/>
    </xf>
    <xf numFmtId="0" fontId="2" fillId="13" borderId="141" xfId="0" applyFont="1" applyFill="1" applyBorder="1" applyAlignment="1">
      <alignment vertical="center"/>
    </xf>
    <xf numFmtId="2" fontId="0" fillId="13" borderId="142" xfId="0" applyNumberFormat="1" applyFill="1" applyBorder="1" applyAlignment="1">
      <alignment vertical="center"/>
    </xf>
    <xf numFmtId="0" fontId="3" fillId="13" borderId="142" xfId="0" applyFont="1" applyFill="1" applyBorder="1" applyAlignment="1">
      <alignment vertical="center"/>
    </xf>
    <xf numFmtId="0" fontId="2" fillId="13" borderId="142" xfId="0" applyFont="1" applyFill="1" applyBorder="1" applyAlignment="1">
      <alignment vertical="center"/>
    </xf>
    <xf numFmtId="0" fontId="0" fillId="13" borderId="142" xfId="0" applyFill="1" applyBorder="1" applyAlignment="1">
      <alignment vertical="center"/>
    </xf>
    <xf numFmtId="0" fontId="0" fillId="13" borderId="142" xfId="0" applyFill="1" applyBorder="1" applyAlignment="1">
      <alignment horizontal="center" vertical="center"/>
    </xf>
    <xf numFmtId="0" fontId="0" fillId="13" borderId="143" xfId="0" applyFill="1" applyBorder="1" applyAlignment="1">
      <alignment vertical="center"/>
    </xf>
    <xf numFmtId="0" fontId="2" fillId="13" borderId="130" xfId="0" applyFont="1" applyFill="1" applyBorder="1" applyAlignment="1">
      <alignment vertical="center"/>
    </xf>
    <xf numFmtId="0" fontId="0" fillId="13" borderId="131" xfId="0" applyFill="1" applyBorder="1" applyAlignment="1">
      <alignment horizontal="center" vertical="center"/>
    </xf>
    <xf numFmtId="0" fontId="0" fillId="13" borderId="144" xfId="0" applyFill="1" applyBorder="1" applyAlignment="1">
      <alignment vertical="center"/>
    </xf>
    <xf numFmtId="0" fontId="2" fillId="13" borderId="145" xfId="0" applyFont="1" applyFill="1" applyBorder="1" applyAlignment="1">
      <alignment vertical="center"/>
    </xf>
    <xf numFmtId="2" fontId="0" fillId="13" borderId="146" xfId="0" applyNumberFormat="1" applyFill="1" applyBorder="1" applyAlignment="1">
      <alignment vertical="center"/>
    </xf>
    <xf numFmtId="0" fontId="3" fillId="13" borderId="146" xfId="0" applyFont="1" applyFill="1" applyBorder="1" applyAlignment="1">
      <alignment vertical="center"/>
    </xf>
    <xf numFmtId="0" fontId="0" fillId="13" borderId="146" xfId="0" applyFill="1" applyBorder="1" applyAlignment="1">
      <alignment vertical="center"/>
    </xf>
    <xf numFmtId="0" fontId="0" fillId="13" borderId="146" xfId="0" applyFill="1" applyBorder="1" applyAlignment="1">
      <alignment horizontal="center" vertical="center"/>
    </xf>
    <xf numFmtId="0" fontId="0" fillId="13" borderId="147" xfId="0" applyFill="1" applyBorder="1" applyAlignment="1">
      <alignment vertical="center"/>
    </xf>
    <xf numFmtId="2" fontId="4" fillId="2" borderId="3" xfId="0" quotePrefix="1" applyNumberFormat="1" applyFont="1" applyFill="1" applyBorder="1" applyAlignment="1" applyProtection="1">
      <alignment horizontal="left"/>
      <protection hidden="1"/>
    </xf>
    <xf numFmtId="0" fontId="0" fillId="0" borderId="148" xfId="0" applyBorder="1"/>
    <xf numFmtId="0" fontId="0" fillId="0" borderId="80" xfId="0" applyBorder="1"/>
    <xf numFmtId="0" fontId="0" fillId="0" borderId="40" xfId="0" applyBorder="1"/>
    <xf numFmtId="0" fontId="3" fillId="0" borderId="81" xfId="0" applyFont="1" applyBorder="1" applyAlignment="1">
      <alignment vertical="center"/>
    </xf>
    <xf numFmtId="2" fontId="3" fillId="0" borderId="82" xfId="0" applyNumberFormat="1" applyFont="1" applyBorder="1" applyAlignment="1" applyProtection="1">
      <alignment vertical="center"/>
      <protection hidden="1"/>
    </xf>
    <xf numFmtId="0" fontId="38" fillId="0" borderId="83" xfId="0" quotePrefix="1" applyFont="1" applyBorder="1" applyAlignment="1" applyProtection="1">
      <alignment horizontal="center" vertical="center" wrapText="1"/>
      <protection hidden="1"/>
    </xf>
    <xf numFmtId="2" fontId="3" fillId="0" borderId="71" xfId="0" applyNumberFormat="1" applyFont="1" applyBorder="1" applyAlignment="1" applyProtection="1">
      <alignment vertical="center"/>
      <protection hidden="1"/>
    </xf>
    <xf numFmtId="2" fontId="3" fillId="0" borderId="69" xfId="0" applyNumberFormat="1" applyFont="1" applyBorder="1" applyAlignment="1" applyProtection="1">
      <alignment vertical="center"/>
      <protection hidden="1"/>
    </xf>
    <xf numFmtId="2" fontId="3" fillId="0" borderId="76" xfId="0" applyNumberFormat="1" applyFont="1" applyBorder="1" applyAlignment="1" applyProtection="1">
      <alignment vertical="center"/>
      <protection hidden="1"/>
    </xf>
    <xf numFmtId="0" fontId="3" fillId="0" borderId="71" xfId="0" applyFont="1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0" xfId="0" applyNumberFormat="1"/>
    <xf numFmtId="0" fontId="3" fillId="0" borderId="149" xfId="0" applyFont="1" applyBorder="1"/>
    <xf numFmtId="0" fontId="9" fillId="2" borderId="1" xfId="0" applyFont="1" applyFill="1" applyBorder="1" applyAlignment="1" applyProtection="1">
      <alignment horizontal="center"/>
      <protection hidden="1"/>
    </xf>
    <xf numFmtId="0" fontId="9" fillId="2" borderId="10" xfId="0" applyFont="1" applyFill="1" applyBorder="1" applyProtection="1">
      <protection hidden="1"/>
    </xf>
    <xf numFmtId="166" fontId="3" fillId="12" borderId="84" xfId="0" applyNumberFormat="1" applyFont="1" applyFill="1" applyBorder="1" applyAlignment="1" applyProtection="1">
      <alignment horizontal="center" vertical="center"/>
      <protection hidden="1"/>
    </xf>
    <xf numFmtId="165" fontId="3" fillId="12" borderId="84" xfId="0" applyNumberFormat="1" applyFont="1" applyFill="1" applyBorder="1" applyAlignment="1" applyProtection="1">
      <alignment horizontal="center" vertical="center"/>
      <protection hidden="1"/>
    </xf>
    <xf numFmtId="2" fontId="3" fillId="12" borderId="84" xfId="0" applyNumberFormat="1" applyFont="1" applyFill="1" applyBorder="1" applyAlignment="1" applyProtection="1">
      <alignment horizontal="center" vertical="center"/>
      <protection hidden="1"/>
    </xf>
    <xf numFmtId="0" fontId="7" fillId="19" borderId="1" xfId="0" applyFont="1" applyFill="1" applyBorder="1"/>
    <xf numFmtId="0" fontId="9" fillId="19" borderId="1" xfId="0" applyFont="1" applyFill="1" applyBorder="1" applyAlignment="1">
      <alignment horizontal="center"/>
    </xf>
    <xf numFmtId="0" fontId="5" fillId="8" borderId="9" xfId="0" quotePrefix="1" applyFont="1" applyFill="1" applyBorder="1" applyAlignment="1" applyProtection="1">
      <alignment horizontal="left"/>
      <protection hidden="1"/>
    </xf>
    <xf numFmtId="0" fontId="5" fillId="12" borderId="45" xfId="0" quotePrefix="1" applyFont="1" applyFill="1" applyBorder="1" applyAlignment="1" applyProtection="1">
      <alignment horizontal="left"/>
      <protection hidden="1"/>
    </xf>
    <xf numFmtId="0" fontId="9" fillId="2" borderId="3" xfId="0" applyFont="1" applyFill="1" applyBorder="1" applyAlignment="1" applyProtection="1">
      <alignment horizontal="center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3" borderId="1" xfId="0" applyFont="1" applyFill="1" applyBorder="1" applyProtection="1">
      <protection hidden="1"/>
    </xf>
    <xf numFmtId="0" fontId="9" fillId="12" borderId="1" xfId="0" applyFont="1" applyFill="1" applyBorder="1" applyProtection="1">
      <protection hidden="1"/>
    </xf>
    <xf numFmtId="0" fontId="9" fillId="8" borderId="4" xfId="0" applyFont="1" applyFill="1" applyBorder="1" applyProtection="1">
      <protection hidden="1"/>
    </xf>
    <xf numFmtId="0" fontId="9" fillId="12" borderId="4" xfId="0" applyFont="1" applyFill="1" applyBorder="1" applyProtection="1">
      <protection hidden="1"/>
    </xf>
    <xf numFmtId="0" fontId="9" fillId="8" borderId="1" xfId="0" applyFont="1" applyFill="1" applyBorder="1" applyProtection="1">
      <protection hidden="1"/>
    </xf>
    <xf numFmtId="166" fontId="9" fillId="0" borderId="1" xfId="0" applyNumberFormat="1" applyFont="1" applyBorder="1" applyAlignment="1" applyProtection="1">
      <alignment horizontal="center" vertical="center"/>
      <protection hidden="1"/>
    </xf>
    <xf numFmtId="166" fontId="9" fillId="0" borderId="0" xfId="0" applyNumberFormat="1" applyFont="1" applyAlignment="1" applyProtection="1">
      <alignment horizontal="center" vertical="center"/>
      <protection hidden="1"/>
    </xf>
    <xf numFmtId="165" fontId="9" fillId="0" borderId="1" xfId="0" applyNumberFormat="1" applyFont="1" applyBorder="1" applyAlignment="1" applyProtection="1">
      <alignment horizontal="center" vertical="center"/>
      <protection hidden="1"/>
    </xf>
    <xf numFmtId="165" fontId="9" fillId="0" borderId="0" xfId="0" applyNumberFormat="1" applyFont="1" applyAlignment="1" applyProtection="1">
      <alignment horizontal="center" vertical="center"/>
      <protection hidden="1"/>
    </xf>
    <xf numFmtId="165" fontId="9" fillId="0" borderId="11" xfId="0" applyNumberFormat="1" applyFont="1" applyBorder="1" applyAlignment="1" applyProtection="1">
      <alignment horizontal="center" vertical="center"/>
      <protection hidden="1"/>
    </xf>
    <xf numFmtId="165" fontId="9" fillId="0" borderId="0" xfId="0" applyNumberFormat="1" applyFont="1" applyAlignment="1">
      <alignment horizontal="center" vertical="center"/>
    </xf>
    <xf numFmtId="0" fontId="2" fillId="3" borderId="1" xfId="0" applyFont="1" applyFill="1" applyBorder="1" applyAlignment="1" applyProtection="1">
      <alignment horizontal="center"/>
      <protection hidden="1"/>
    </xf>
    <xf numFmtId="164" fontId="2" fillId="3" borderId="1" xfId="0" applyNumberFormat="1" applyFont="1" applyFill="1" applyBorder="1" applyAlignment="1" applyProtection="1">
      <alignment horizontal="center"/>
      <protection hidden="1"/>
    </xf>
    <xf numFmtId="169" fontId="2" fillId="3" borderId="1" xfId="0" applyNumberFormat="1" applyFont="1" applyFill="1" applyBorder="1" applyAlignment="1" applyProtection="1">
      <alignment horizontal="center"/>
      <protection hidden="1"/>
    </xf>
    <xf numFmtId="2" fontId="2" fillId="3" borderId="1" xfId="0" applyNumberFormat="1" applyFont="1" applyFill="1" applyBorder="1" applyAlignment="1" applyProtection="1">
      <alignment horizontal="center"/>
      <protection hidden="1"/>
    </xf>
    <xf numFmtId="0" fontId="2" fillId="12" borderId="1" xfId="0" applyFont="1" applyFill="1" applyBorder="1" applyAlignment="1" applyProtection="1">
      <alignment horizontal="center"/>
      <protection hidden="1"/>
    </xf>
    <xf numFmtId="164" fontId="2" fillId="12" borderId="1" xfId="0" applyNumberFormat="1" applyFont="1" applyFill="1" applyBorder="1" applyAlignment="1" applyProtection="1">
      <alignment horizontal="center"/>
      <protection hidden="1"/>
    </xf>
    <xf numFmtId="169" fontId="2" fillId="12" borderId="1" xfId="0" applyNumberFormat="1" applyFont="1" applyFill="1" applyBorder="1" applyAlignment="1" applyProtection="1">
      <alignment horizontal="center"/>
      <protection hidden="1"/>
    </xf>
    <xf numFmtId="2" fontId="2" fillId="12" borderId="1" xfId="0" applyNumberFormat="1" applyFont="1" applyFill="1" applyBorder="1" applyAlignment="1" applyProtection="1">
      <alignment horizontal="center"/>
      <protection hidden="1"/>
    </xf>
    <xf numFmtId="0" fontId="4" fillId="4" borderId="14" xfId="0" applyFont="1" applyFill="1" applyBorder="1" applyAlignment="1" applyProtection="1">
      <alignment horizontal="left"/>
      <protection hidden="1"/>
    </xf>
    <xf numFmtId="0" fontId="4" fillId="4" borderId="17" xfId="0" quotePrefix="1" applyFont="1" applyFill="1" applyBorder="1" applyAlignment="1" applyProtection="1">
      <alignment horizontal="left"/>
      <protection hidden="1"/>
    </xf>
    <xf numFmtId="2" fontId="9" fillId="4" borderId="15" xfId="0" applyNumberFormat="1" applyFont="1" applyFill="1" applyBorder="1" applyAlignment="1" applyProtection="1">
      <alignment horizontal="center"/>
      <protection hidden="1"/>
    </xf>
    <xf numFmtId="0" fontId="9" fillId="0" borderId="0" xfId="0" applyFont="1" applyProtection="1">
      <protection hidden="1"/>
    </xf>
    <xf numFmtId="0" fontId="9" fillId="12" borderId="50" xfId="0" applyFont="1" applyFill="1" applyBorder="1" applyProtection="1">
      <protection hidden="1"/>
    </xf>
    <xf numFmtId="0" fontId="4" fillId="4" borderId="21" xfId="0" applyFont="1" applyFill="1" applyBorder="1" applyAlignment="1" applyProtection="1">
      <alignment horizontal="left"/>
      <protection hidden="1"/>
    </xf>
    <xf numFmtId="0" fontId="4" fillId="4" borderId="5" xfId="0" applyFont="1" applyFill="1" applyBorder="1" applyAlignment="1" applyProtection="1">
      <alignment horizontal="left"/>
      <protection hidden="1"/>
    </xf>
    <xf numFmtId="0" fontId="4" fillId="4" borderId="12" xfId="0" quotePrefix="1" applyFont="1" applyFill="1" applyBorder="1" applyAlignment="1" applyProtection="1">
      <alignment horizontal="left"/>
      <protection hidden="1"/>
    </xf>
    <xf numFmtId="0" fontId="4" fillId="4" borderId="8" xfId="0" applyFont="1" applyFill="1" applyBorder="1" applyAlignment="1" applyProtection="1">
      <alignment horizontal="left"/>
      <protection hidden="1"/>
    </xf>
    <xf numFmtId="0" fontId="4" fillId="4" borderId="3" xfId="0" quotePrefix="1" applyFont="1" applyFill="1" applyBorder="1" applyAlignment="1" applyProtection="1">
      <alignment horizontal="left"/>
      <protection hidden="1"/>
    </xf>
    <xf numFmtId="166" fontId="9" fillId="4" borderId="1" xfId="0" applyNumberFormat="1" applyFont="1" applyFill="1" applyBorder="1" applyAlignment="1" applyProtection="1">
      <alignment horizontal="center"/>
      <protection hidden="1"/>
    </xf>
    <xf numFmtId="2" fontId="9" fillId="4" borderId="1" xfId="0" applyNumberFormat="1" applyFont="1" applyFill="1" applyBorder="1" applyAlignment="1" applyProtection="1">
      <alignment horizontal="center"/>
      <protection hidden="1"/>
    </xf>
    <xf numFmtId="0" fontId="4" fillId="4" borderId="7" xfId="0" applyFont="1" applyFill="1" applyBorder="1" applyAlignment="1" applyProtection="1">
      <alignment horizontal="left"/>
      <protection hidden="1"/>
    </xf>
    <xf numFmtId="0" fontId="4" fillId="4" borderId="23" xfId="0" quotePrefix="1" applyFont="1" applyFill="1" applyBorder="1" applyAlignment="1" applyProtection="1">
      <alignment horizontal="left"/>
      <protection hidden="1"/>
    </xf>
    <xf numFmtId="166" fontId="9" fillId="4" borderId="4" xfId="0" applyNumberFormat="1" applyFont="1" applyFill="1" applyBorder="1" applyAlignment="1" applyProtection="1">
      <alignment horizontal="center"/>
      <protection hidden="1"/>
    </xf>
    <xf numFmtId="0" fontId="4" fillId="4" borderId="34" xfId="0" applyFont="1" applyFill="1" applyBorder="1" applyAlignment="1" applyProtection="1">
      <alignment horizontal="left"/>
      <protection hidden="1"/>
    </xf>
    <xf numFmtId="0" fontId="4" fillId="4" borderId="19" xfId="0" quotePrefix="1" applyFont="1" applyFill="1" applyBorder="1" applyAlignment="1" applyProtection="1">
      <alignment horizontal="left"/>
      <protection hidden="1"/>
    </xf>
    <xf numFmtId="2" fontId="9" fillId="4" borderId="35" xfId="0" applyNumberFormat="1" applyFont="1" applyFill="1" applyBorder="1" applyAlignment="1" applyProtection="1">
      <alignment horizontal="center"/>
      <protection hidden="1"/>
    </xf>
    <xf numFmtId="0" fontId="4" fillId="0" borderId="6" xfId="0" applyFont="1" applyBorder="1" applyAlignment="1" applyProtection="1">
      <alignment horizontal="left"/>
      <protection hidden="1"/>
    </xf>
    <xf numFmtId="0" fontId="4" fillId="0" borderId="0" xfId="0" applyFont="1" applyAlignment="1" applyProtection="1">
      <alignment horizontal="left"/>
      <protection hidden="1"/>
    </xf>
    <xf numFmtId="165" fontId="9" fillId="0" borderId="94" xfId="0" applyNumberFormat="1" applyFont="1" applyBorder="1" applyAlignment="1" applyProtection="1">
      <alignment horizontal="center"/>
      <protection hidden="1"/>
    </xf>
    <xf numFmtId="2" fontId="9" fillId="0" borderId="0" xfId="0" applyNumberFormat="1" applyFont="1" applyAlignment="1" applyProtection="1">
      <alignment horizontal="center"/>
      <protection hidden="1"/>
    </xf>
    <xf numFmtId="165" fontId="9" fillId="0" borderId="0" xfId="0" applyNumberFormat="1" applyFont="1" applyAlignment="1" applyProtection="1">
      <alignment horizontal="center"/>
      <protection hidden="1"/>
    </xf>
    <xf numFmtId="0" fontId="9" fillId="0" borderId="1" xfId="0" applyFont="1" applyBorder="1" applyAlignment="1" applyProtection="1">
      <alignment horizontal="center"/>
      <protection hidden="1"/>
    </xf>
    <xf numFmtId="165" fontId="9" fillId="0" borderId="1" xfId="0" applyNumberFormat="1" applyFont="1" applyBorder="1" applyAlignment="1" applyProtection="1">
      <alignment horizontal="center"/>
      <protection hidden="1"/>
    </xf>
    <xf numFmtId="165" fontId="9" fillId="0" borderId="11" xfId="0" applyNumberFormat="1" applyFont="1" applyBorder="1" applyAlignment="1" applyProtection="1">
      <alignment horizontal="center"/>
      <protection hidden="1"/>
    </xf>
    <xf numFmtId="2" fontId="9" fillId="0" borderId="35" xfId="0" applyNumberFormat="1" applyFont="1" applyBorder="1" applyAlignment="1" applyProtection="1">
      <alignment horizontal="center"/>
      <protection hidden="1"/>
    </xf>
    <xf numFmtId="165" fontId="9" fillId="0" borderId="15" xfId="0" applyNumberFormat="1" applyFont="1" applyBorder="1" applyAlignment="1" applyProtection="1">
      <alignment horizontal="center"/>
      <protection hidden="1"/>
    </xf>
    <xf numFmtId="2" fontId="9" fillId="7" borderId="24" xfId="0" applyNumberFormat="1" applyFont="1" applyFill="1" applyBorder="1" applyAlignment="1" applyProtection="1">
      <alignment horizontal="center"/>
      <protection hidden="1"/>
    </xf>
    <xf numFmtId="0" fontId="4" fillId="11" borderId="0" xfId="0" applyFont="1" applyFill="1" applyProtection="1">
      <protection hidden="1"/>
    </xf>
    <xf numFmtId="2" fontId="9" fillId="0" borderId="4" xfId="0" applyNumberFormat="1" applyFont="1" applyBorder="1" applyAlignment="1" applyProtection="1">
      <alignment horizontal="center"/>
      <protection hidden="1"/>
    </xf>
    <xf numFmtId="0" fontId="4" fillId="2" borderId="26" xfId="0" applyFont="1" applyFill="1" applyBorder="1" applyAlignment="1" applyProtection="1">
      <alignment horizontal="right"/>
      <protection hidden="1"/>
    </xf>
    <xf numFmtId="0" fontId="3" fillId="2" borderId="27" xfId="0" applyFont="1" applyFill="1" applyBorder="1" applyProtection="1">
      <protection hidden="1"/>
    </xf>
    <xf numFmtId="0" fontId="4" fillId="11" borderId="26" xfId="0" applyFont="1" applyFill="1" applyBorder="1" applyAlignment="1" applyProtection="1">
      <alignment horizontal="center"/>
      <protection hidden="1"/>
    </xf>
    <xf numFmtId="0" fontId="9" fillId="0" borderId="22" xfId="0" applyFont="1" applyBorder="1" applyAlignment="1" applyProtection="1">
      <alignment horizontal="center"/>
      <protection hidden="1"/>
    </xf>
    <xf numFmtId="165" fontId="9" fillId="8" borderId="4" xfId="0" applyNumberFormat="1" applyFont="1" applyFill="1" applyBorder="1" applyAlignment="1" applyProtection="1">
      <alignment horizontal="center"/>
      <protection hidden="1"/>
    </xf>
    <xf numFmtId="165" fontId="9" fillId="0" borderId="4" xfId="0" applyNumberFormat="1" applyFont="1" applyBorder="1" applyAlignment="1" applyProtection="1">
      <alignment horizontal="center"/>
      <protection hidden="1"/>
    </xf>
    <xf numFmtId="165" fontId="9" fillId="0" borderId="29" xfId="0" applyNumberFormat="1" applyFont="1" applyBorder="1" applyAlignment="1" applyProtection="1">
      <alignment horizontal="center"/>
      <protection hidden="1"/>
    </xf>
    <xf numFmtId="0" fontId="9" fillId="0" borderId="20" xfId="0" applyFont="1" applyBorder="1" applyAlignment="1" applyProtection="1">
      <alignment horizontal="center"/>
      <protection hidden="1"/>
    </xf>
    <xf numFmtId="165" fontId="9" fillId="8" borderId="1" xfId="0" applyNumberFormat="1" applyFont="1" applyFill="1" applyBorder="1" applyAlignment="1" applyProtection="1">
      <alignment horizontal="center"/>
      <protection hidden="1"/>
    </xf>
    <xf numFmtId="165" fontId="9" fillId="0" borderId="30" xfId="0" applyNumberFormat="1" applyFont="1" applyBorder="1" applyAlignment="1" applyProtection="1">
      <alignment horizontal="center"/>
      <protection hidden="1"/>
    </xf>
    <xf numFmtId="0" fontId="4" fillId="0" borderId="50" xfId="0" applyFont="1" applyBorder="1" applyAlignment="1" applyProtection="1">
      <alignment horizontal="left"/>
      <protection hidden="1"/>
    </xf>
    <xf numFmtId="165" fontId="9" fillId="11" borderId="1" xfId="0" applyNumberFormat="1" applyFont="1" applyFill="1" applyBorder="1" applyAlignment="1" applyProtection="1">
      <alignment horizontal="center"/>
      <protection hidden="1"/>
    </xf>
    <xf numFmtId="166" fontId="9" fillId="0" borderId="0" xfId="0" applyNumberFormat="1" applyFont="1" applyAlignment="1" applyProtection="1">
      <alignment horizontal="center"/>
      <protection hidden="1"/>
    </xf>
    <xf numFmtId="2" fontId="9" fillId="0" borderId="11" xfId="0" applyNumberFormat="1" applyFont="1" applyBorder="1" applyAlignment="1" applyProtection="1">
      <alignment horizontal="center"/>
      <protection hidden="1"/>
    </xf>
    <xf numFmtId="165" fontId="9" fillId="11" borderId="15" xfId="0" applyNumberFormat="1" applyFont="1" applyFill="1" applyBorder="1" applyAlignment="1" applyProtection="1">
      <alignment horizontal="center"/>
      <protection hidden="1"/>
    </xf>
    <xf numFmtId="2" fontId="9" fillId="2" borderId="4" xfId="0" applyNumberFormat="1" applyFont="1" applyFill="1" applyBorder="1" applyAlignment="1" applyProtection="1">
      <alignment horizontal="center"/>
      <protection hidden="1"/>
    </xf>
    <xf numFmtId="165" fontId="9" fillId="2" borderId="1" xfId="0" applyNumberFormat="1" applyFont="1" applyFill="1" applyBorder="1" applyAlignment="1" applyProtection="1">
      <alignment horizontal="center"/>
      <protection hidden="1"/>
    </xf>
    <xf numFmtId="166" fontId="9" fillId="2" borderId="1" xfId="0" applyNumberFormat="1" applyFont="1" applyFill="1" applyBorder="1" applyAlignment="1" applyProtection="1">
      <alignment horizontal="center"/>
      <protection hidden="1"/>
    </xf>
    <xf numFmtId="2" fontId="9" fillId="2" borderId="1" xfId="0" applyNumberFormat="1" applyFont="1" applyFill="1" applyBorder="1" applyAlignment="1" applyProtection="1">
      <alignment horizontal="center"/>
      <protection hidden="1"/>
    </xf>
    <xf numFmtId="0" fontId="4" fillId="0" borderId="56" xfId="0" quotePrefix="1" applyFont="1" applyBorder="1" applyAlignment="1" applyProtection="1">
      <alignment horizontal="left"/>
      <protection hidden="1"/>
    </xf>
    <xf numFmtId="2" fontId="9" fillId="0" borderId="0" xfId="0" applyNumberFormat="1" applyFont="1" applyProtection="1">
      <protection hidden="1"/>
    </xf>
    <xf numFmtId="2" fontId="9" fillId="2" borderId="1" xfId="0" applyNumberFormat="1" applyFont="1" applyFill="1" applyBorder="1" applyAlignment="1" applyProtection="1">
      <alignment horizontal="center" vertical="center"/>
      <protection hidden="1"/>
    </xf>
    <xf numFmtId="165" fontId="9" fillId="0" borderId="0" xfId="0" applyNumberFormat="1" applyFont="1" applyProtection="1">
      <protection hidden="1"/>
    </xf>
    <xf numFmtId="0" fontId="9" fillId="5" borderId="1" xfId="0" applyFont="1" applyFill="1" applyBorder="1" applyProtection="1">
      <protection hidden="1"/>
    </xf>
    <xf numFmtId="2" fontId="9" fillId="5" borderId="1" xfId="0" applyNumberFormat="1" applyFont="1" applyFill="1" applyBorder="1" applyProtection="1">
      <protection hidden="1"/>
    </xf>
    <xf numFmtId="165" fontId="9" fillId="6" borderId="1" xfId="0" applyNumberFormat="1" applyFont="1" applyFill="1" applyBorder="1" applyProtection="1">
      <protection hidden="1"/>
    </xf>
    <xf numFmtId="0" fontId="9" fillId="6" borderId="1" xfId="0" applyFont="1" applyFill="1" applyBorder="1" applyProtection="1">
      <protection hidden="1"/>
    </xf>
    <xf numFmtId="0" fontId="4" fillId="2" borderId="8" xfId="0" applyFont="1" applyFill="1" applyBorder="1" applyAlignment="1">
      <alignment horizontal="right"/>
    </xf>
    <xf numFmtId="166" fontId="4" fillId="2" borderId="3" xfId="0" quotePrefix="1" applyNumberFormat="1" applyFont="1" applyFill="1" applyBorder="1" applyAlignment="1" applyProtection="1">
      <alignment horizontal="center"/>
      <protection hidden="1"/>
    </xf>
    <xf numFmtId="0" fontId="5" fillId="2" borderId="3" xfId="0" applyFont="1" applyFill="1" applyBorder="1" applyAlignment="1" applyProtection="1">
      <alignment horizontal="center"/>
      <protection hidden="1"/>
    </xf>
    <xf numFmtId="0" fontId="9" fillId="2" borderId="2" xfId="0" applyFont="1" applyFill="1" applyBorder="1" applyAlignment="1" applyProtection="1">
      <alignment horizontal="center"/>
      <protection hidden="1"/>
    </xf>
    <xf numFmtId="0" fontId="9" fillId="2" borderId="8" xfId="0" applyFont="1" applyFill="1" applyBorder="1" applyAlignment="1" applyProtection="1">
      <alignment horizontal="center"/>
      <protection hidden="1"/>
    </xf>
    <xf numFmtId="165" fontId="0" fillId="12" borderId="84" xfId="0" applyNumberFormat="1" applyFill="1" applyBorder="1" applyAlignment="1" applyProtection="1">
      <alignment horizontal="center" vertical="center"/>
      <protection hidden="1"/>
    </xf>
    <xf numFmtId="0" fontId="9" fillId="19" borderId="2" xfId="0" applyFont="1" applyFill="1" applyBorder="1"/>
    <xf numFmtId="0" fontId="0" fillId="19" borderId="8" xfId="0" applyFill="1" applyBorder="1"/>
    <xf numFmtId="0" fontId="0" fillId="19" borderId="3" xfId="0" applyFill="1" applyBorder="1"/>
    <xf numFmtId="0" fontId="0" fillId="19" borderId="1" xfId="0" applyFill="1" applyBorder="1"/>
    <xf numFmtId="0" fontId="9" fillId="19" borderId="2" xfId="0" applyFont="1" applyFill="1" applyBorder="1" applyAlignment="1">
      <alignment horizontal="left"/>
    </xf>
    <xf numFmtId="2" fontId="5" fillId="12" borderId="84" xfId="0" applyNumberFormat="1" applyFont="1" applyFill="1" applyBorder="1" applyAlignment="1" applyProtection="1">
      <alignment horizontal="center" vertical="center"/>
      <protection hidden="1"/>
    </xf>
    <xf numFmtId="0" fontId="0" fillId="19" borderId="69" xfId="0" applyFill="1" applyBorder="1" applyProtection="1">
      <protection locked="0"/>
    </xf>
    <xf numFmtId="0" fontId="0" fillId="19" borderId="71" xfId="0" applyFill="1" applyBorder="1" applyProtection="1">
      <protection locked="0"/>
    </xf>
    <xf numFmtId="0" fontId="58" fillId="0" borderId="1" xfId="1" applyFont="1" applyBorder="1" applyAlignment="1">
      <alignment vertical="center"/>
    </xf>
    <xf numFmtId="14" fontId="58" fillId="0" borderId="1" xfId="1" applyNumberFormat="1" applyFont="1" applyBorder="1" applyAlignment="1">
      <alignment vertical="center"/>
    </xf>
    <xf numFmtId="0" fontId="58" fillId="0" borderId="1" xfId="1" applyFont="1" applyBorder="1" applyAlignment="1">
      <alignment vertical="center" wrapText="1"/>
    </xf>
    <xf numFmtId="0" fontId="60" fillId="17" borderId="124" xfId="2" applyFont="1" applyFill="1" applyBorder="1" applyAlignment="1" applyProtection="1">
      <alignment horizontal="left"/>
      <protection locked="0"/>
    </xf>
    <xf numFmtId="14" fontId="60" fillId="17" borderId="124" xfId="2" applyNumberFormat="1" applyFont="1" applyFill="1" applyBorder="1" applyAlignment="1" applyProtection="1">
      <alignment horizontal="left"/>
      <protection locked="0"/>
    </xf>
    <xf numFmtId="0" fontId="56" fillId="0" borderId="0" xfId="1" applyFont="1" applyAlignment="1">
      <alignment horizontal="center" vertical="center"/>
    </xf>
    <xf numFmtId="0" fontId="56" fillId="0" borderId="38" xfId="1" applyFont="1" applyBorder="1" applyAlignment="1">
      <alignment horizontal="center" vertical="center"/>
    </xf>
    <xf numFmtId="0" fontId="57" fillId="0" borderId="0" xfId="1" applyFont="1" applyAlignment="1">
      <alignment horizontal="right" vertical="center"/>
    </xf>
    <xf numFmtId="0" fontId="57" fillId="0" borderId="38" xfId="1" applyFont="1" applyBorder="1" applyAlignment="1">
      <alignment horizontal="right" vertical="center"/>
    </xf>
    <xf numFmtId="0" fontId="58" fillId="0" borderId="122" xfId="1" applyFont="1" applyBorder="1" applyAlignment="1">
      <alignment horizontal="left"/>
    </xf>
    <xf numFmtId="0" fontId="58" fillId="0" borderId="123" xfId="1" applyFont="1" applyBorder="1" applyAlignment="1">
      <alignment horizontal="left"/>
    </xf>
    <xf numFmtId="0" fontId="58" fillId="17" borderId="124" xfId="2" applyFont="1" applyFill="1" applyBorder="1" applyAlignment="1" applyProtection="1">
      <alignment horizontal="left"/>
      <protection locked="0"/>
    </xf>
    <xf numFmtId="0" fontId="60" fillId="0" borderId="122" xfId="1" applyFont="1" applyBorder="1" applyAlignment="1">
      <alignment horizontal="left"/>
    </xf>
    <xf numFmtId="0" fontId="60" fillId="0" borderId="123" xfId="1" applyFont="1" applyBorder="1" applyAlignment="1">
      <alignment horizontal="left"/>
    </xf>
    <xf numFmtId="0" fontId="60" fillId="17" borderId="124" xfId="2" applyFont="1" applyFill="1" applyBorder="1" applyAlignment="1" applyProtection="1">
      <alignment horizontal="left"/>
      <protection locked="0"/>
    </xf>
    <xf numFmtId="0" fontId="58" fillId="0" borderId="2" xfId="1" applyFont="1" applyBorder="1" applyAlignment="1">
      <alignment horizontal="center" wrapText="1"/>
    </xf>
    <xf numFmtId="0" fontId="58" fillId="0" borderId="8" xfId="1" applyFont="1" applyBorder="1" applyAlignment="1">
      <alignment horizontal="center" wrapText="1"/>
    </xf>
    <xf numFmtId="0" fontId="58" fillId="0" borderId="3" xfId="1" applyFont="1" applyBorder="1" applyAlignment="1">
      <alignment horizontal="center" wrapText="1"/>
    </xf>
    <xf numFmtId="0" fontId="62" fillId="18" borderId="1" xfId="1" applyFont="1" applyFill="1" applyBorder="1" applyAlignment="1">
      <alignment horizontal="left"/>
    </xf>
    <xf numFmtId="0" fontId="58" fillId="0" borderId="1" xfId="1" applyFont="1" applyBorder="1" applyAlignment="1">
      <alignment horizontal="center" wrapText="1"/>
    </xf>
    <xf numFmtId="0" fontId="3" fillId="12" borderId="2" xfId="0" applyFont="1" applyFill="1" applyBorder="1"/>
    <xf numFmtId="0" fontId="3" fillId="12" borderId="8" xfId="0" applyFont="1" applyFill="1" applyBorder="1"/>
    <xf numFmtId="0" fontId="3" fillId="12" borderId="104" xfId="0" applyFont="1" applyFill="1" applyBorder="1"/>
    <xf numFmtId="0" fontId="3" fillId="12" borderId="20" xfId="0" applyFont="1" applyFill="1" applyBorder="1"/>
    <xf numFmtId="0" fontId="3" fillId="12" borderId="20" xfId="0" applyFont="1" applyFill="1" applyBorder="1" applyAlignment="1">
      <alignment vertical="center"/>
    </xf>
    <xf numFmtId="0" fontId="3" fillId="12" borderId="8" xfId="0" applyFont="1" applyFill="1" applyBorder="1" applyAlignment="1">
      <alignment vertical="center"/>
    </xf>
    <xf numFmtId="0" fontId="3" fillId="12" borderId="104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left" vertical="center"/>
    </xf>
    <xf numFmtId="0" fontId="3" fillId="13" borderId="129" xfId="0" applyFont="1" applyFill="1" applyBorder="1" applyAlignment="1">
      <alignment horizontal="center"/>
    </xf>
    <xf numFmtId="0" fontId="2" fillId="13" borderId="25" xfId="0" applyFont="1" applyFill="1" applyBorder="1" applyAlignment="1">
      <alignment horizontal="center"/>
    </xf>
    <xf numFmtId="0" fontId="2" fillId="13" borderId="127" xfId="0" applyFont="1" applyFill="1" applyBorder="1" applyAlignment="1">
      <alignment horizontal="center"/>
    </xf>
    <xf numFmtId="0" fontId="2" fillId="13" borderId="28" xfId="0" applyFont="1" applyFill="1" applyBorder="1" applyAlignment="1">
      <alignment horizontal="center"/>
    </xf>
    <xf numFmtId="0" fontId="38" fillId="0" borderId="21" xfId="0" quotePrefix="1" applyFont="1" applyBorder="1" applyAlignment="1" applyProtection="1">
      <alignment horizontal="center" vertical="center" wrapText="1"/>
      <protection hidden="1"/>
    </xf>
    <xf numFmtId="0" fontId="38" fillId="0" borderId="5" xfId="0" quotePrefix="1" applyFont="1" applyBorder="1" applyAlignment="1" applyProtection="1">
      <alignment horizontal="center" vertical="center" wrapText="1"/>
      <protection hidden="1"/>
    </xf>
    <xf numFmtId="0" fontId="38" fillId="0" borderId="12" xfId="0" quotePrefix="1" applyFont="1" applyBorder="1" applyAlignment="1" applyProtection="1">
      <alignment horizontal="center" vertical="center" wrapText="1"/>
      <protection hidden="1"/>
    </xf>
    <xf numFmtId="0" fontId="38" fillId="0" borderId="80" xfId="0" quotePrefix="1" applyFont="1" applyBorder="1" applyAlignment="1" applyProtection="1">
      <alignment horizontal="center" vertical="center" wrapText="1"/>
      <protection hidden="1"/>
    </xf>
    <xf numFmtId="0" fontId="38" fillId="0" borderId="0" xfId="0" quotePrefix="1" applyFont="1" applyAlignment="1" applyProtection="1">
      <alignment horizontal="center" vertical="center" wrapText="1"/>
      <protection hidden="1"/>
    </xf>
    <xf numFmtId="0" fontId="38" fillId="0" borderId="39" xfId="0" quotePrefix="1" applyFont="1" applyBorder="1" applyAlignment="1" applyProtection="1">
      <alignment horizontal="center" vertical="center" wrapText="1"/>
      <protection hidden="1"/>
    </xf>
    <xf numFmtId="0" fontId="38" fillId="0" borderId="9" xfId="0" quotePrefix="1" applyFont="1" applyBorder="1" applyAlignment="1" applyProtection="1">
      <alignment horizontal="center" vertical="center" wrapText="1"/>
      <protection hidden="1"/>
    </xf>
    <xf numFmtId="0" fontId="38" fillId="0" borderId="92" xfId="0" quotePrefix="1" applyFont="1" applyBorder="1" applyAlignment="1" applyProtection="1">
      <alignment horizontal="center" vertical="center" wrapText="1"/>
      <protection hidden="1"/>
    </xf>
    <xf numFmtId="0" fontId="38" fillId="0" borderId="6" xfId="0" quotePrefix="1" applyFont="1" applyBorder="1" applyAlignment="1" applyProtection="1">
      <alignment horizontal="center" vertical="center" wrapText="1"/>
      <protection hidden="1"/>
    </xf>
    <xf numFmtId="0" fontId="38" fillId="0" borderId="37" xfId="0" quotePrefix="1" applyFont="1" applyBorder="1" applyAlignment="1" applyProtection="1">
      <alignment horizontal="center" vertical="center" wrapText="1"/>
      <protection hidden="1"/>
    </xf>
    <xf numFmtId="0" fontId="3" fillId="12" borderId="2" xfId="0" quotePrefix="1" applyFont="1" applyFill="1" applyBorder="1" applyAlignment="1" applyProtection="1">
      <alignment vertical="center"/>
      <protection hidden="1"/>
    </xf>
    <xf numFmtId="0" fontId="3" fillId="12" borderId="8" xfId="0" quotePrefix="1" applyFont="1" applyFill="1" applyBorder="1" applyAlignment="1" applyProtection="1">
      <alignment vertical="center"/>
      <protection hidden="1"/>
    </xf>
    <xf numFmtId="0" fontId="3" fillId="12" borderId="104" xfId="0" quotePrefix="1" applyFont="1" applyFill="1" applyBorder="1" applyAlignment="1" applyProtection="1">
      <alignment vertical="center"/>
      <protection hidden="1"/>
    </xf>
    <xf numFmtId="0" fontId="2" fillId="20" borderId="25" xfId="0" applyFont="1" applyFill="1" applyBorder="1" applyAlignment="1">
      <alignment horizontal="center"/>
    </xf>
    <xf numFmtId="0" fontId="2" fillId="20" borderId="127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9" fillId="0" borderId="10" xfId="0" applyFont="1" applyBorder="1" applyAlignment="1" applyProtection="1">
      <alignment horizontal="center"/>
      <protection locked="0"/>
    </xf>
    <xf numFmtId="0" fontId="9" fillId="0" borderId="29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37" xfId="0" applyFont="1" applyBorder="1" applyAlignment="1" applyProtection="1">
      <alignment horizontal="center"/>
      <protection locked="0"/>
    </xf>
    <xf numFmtId="14" fontId="0" fillId="0" borderId="34" xfId="0" applyNumberFormat="1" applyBorder="1" applyAlignment="1">
      <alignment horizontal="left"/>
    </xf>
    <xf numFmtId="14" fontId="0" fillId="0" borderId="19" xfId="0" applyNumberFormat="1" applyBorder="1" applyAlignment="1">
      <alignment horizontal="left"/>
    </xf>
    <xf numFmtId="0" fontId="9" fillId="0" borderId="23" xfId="0" applyFont="1" applyBorder="1" applyAlignment="1" applyProtection="1">
      <alignment horizontal="center"/>
      <protection locked="0"/>
    </xf>
    <xf numFmtId="0" fontId="2" fillId="13" borderId="16" xfId="0" applyFont="1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44" fillId="0" borderId="80" xfId="0" applyFont="1" applyBorder="1" applyAlignment="1" applyProtection="1">
      <alignment horizontal="left" vertical="center"/>
      <protection locked="0"/>
    </xf>
    <xf numFmtId="0" fontId="44" fillId="0" borderId="0" xfId="0" applyFont="1" applyAlignment="1" applyProtection="1">
      <alignment horizontal="left" vertical="center"/>
      <protection locked="0"/>
    </xf>
    <xf numFmtId="0" fontId="44" fillId="0" borderId="39" xfId="0" applyFont="1" applyBorder="1" applyAlignment="1" applyProtection="1">
      <alignment horizontal="left" vertical="center"/>
      <protection locked="0"/>
    </xf>
    <xf numFmtId="0" fontId="44" fillId="0" borderId="22" xfId="0" applyFont="1" applyBorder="1" applyAlignment="1" applyProtection="1">
      <alignment horizontal="left" vertical="center"/>
      <protection locked="0"/>
    </xf>
    <xf numFmtId="0" fontId="44" fillId="0" borderId="7" xfId="0" applyFont="1" applyBorder="1" applyAlignment="1" applyProtection="1">
      <alignment horizontal="left" vertical="center"/>
      <protection locked="0"/>
    </xf>
    <xf numFmtId="0" fontId="44" fillId="0" borderId="23" xfId="0" applyFont="1" applyBorder="1" applyAlignment="1" applyProtection="1">
      <alignment horizontal="left" vertical="center"/>
      <protection locked="0"/>
    </xf>
    <xf numFmtId="0" fontId="3" fillId="0" borderId="18" xfId="0" applyFont="1" applyBorder="1" applyAlignment="1">
      <alignment horizontal="right"/>
    </xf>
    <xf numFmtId="0" fontId="3" fillId="0" borderId="34" xfId="0" applyFont="1" applyBorder="1" applyAlignment="1">
      <alignment horizontal="right"/>
    </xf>
    <xf numFmtId="0" fontId="9" fillId="0" borderId="80" xfId="0" applyFont="1" applyBorder="1" applyAlignment="1" applyProtection="1">
      <alignment horizontal="left" vertical="top" wrapText="1"/>
      <protection locked="0"/>
    </xf>
    <xf numFmtId="0" fontId="9" fillId="0" borderId="0" xfId="0" applyFont="1" applyAlignment="1" applyProtection="1">
      <alignment horizontal="left" vertical="top" wrapText="1"/>
      <protection locked="0"/>
    </xf>
    <xf numFmtId="0" fontId="9" fillId="0" borderId="37" xfId="0" applyFont="1" applyBorder="1" applyAlignment="1" applyProtection="1">
      <alignment horizontal="left" vertical="top" wrapText="1"/>
      <protection locked="0"/>
    </xf>
    <xf numFmtId="0" fontId="9" fillId="0" borderId="40" xfId="0" applyFont="1" applyBorder="1" applyAlignment="1" applyProtection="1">
      <alignment horizontal="left" vertical="top" wrapText="1"/>
      <protection locked="0"/>
    </xf>
    <xf numFmtId="0" fontId="9" fillId="0" borderId="38" xfId="0" applyFont="1" applyBorder="1" applyAlignment="1" applyProtection="1">
      <alignment horizontal="left" vertical="top" wrapText="1"/>
      <protection locked="0"/>
    </xf>
    <xf numFmtId="0" fontId="9" fillId="0" borderId="33" xfId="0" applyFont="1" applyBorder="1" applyAlignment="1" applyProtection="1">
      <alignment horizontal="left" vertical="top" wrapText="1"/>
      <protection locked="0"/>
    </xf>
    <xf numFmtId="0" fontId="3" fillId="0" borderId="93" xfId="0" applyFont="1" applyBorder="1" applyAlignment="1" applyProtection="1">
      <alignment horizontal="center"/>
      <protection locked="0"/>
    </xf>
    <xf numFmtId="0" fontId="3" fillId="0" borderId="38" xfId="0" applyFont="1" applyBorder="1" applyAlignment="1" applyProtection="1">
      <alignment horizontal="center"/>
      <protection locked="0"/>
    </xf>
    <xf numFmtId="0" fontId="3" fillId="0" borderId="33" xfId="0" applyFont="1" applyBorder="1" applyAlignment="1" applyProtection="1">
      <alignment horizontal="center"/>
      <protection locked="0"/>
    </xf>
    <xf numFmtId="0" fontId="23" fillId="0" borderId="94" xfId="0" applyFont="1" applyBorder="1" applyAlignment="1" applyProtection="1">
      <alignment horizontal="center" vertical="center"/>
      <protection locked="0"/>
    </xf>
    <xf numFmtId="0" fontId="23" fillId="0" borderId="4" xfId="0" applyFont="1" applyBorder="1" applyAlignment="1" applyProtection="1">
      <alignment horizontal="center" vertical="center"/>
      <protection locked="0"/>
    </xf>
    <xf numFmtId="0" fontId="50" fillId="0" borderId="81" xfId="0" applyFont="1" applyBorder="1" applyAlignment="1" applyProtection="1">
      <alignment horizontal="center" vertical="center"/>
      <protection locked="0"/>
    </xf>
    <xf numFmtId="0" fontId="50" fillId="0" borderId="82" xfId="0" applyFont="1" applyBorder="1" applyAlignment="1" applyProtection="1">
      <alignment horizontal="center" vertical="center"/>
      <protection locked="0"/>
    </xf>
    <xf numFmtId="0" fontId="50" fillId="0" borderId="42" xfId="0" applyFont="1" applyBorder="1" applyAlignment="1" applyProtection="1">
      <alignment horizontal="center" vertical="center"/>
      <protection locked="0"/>
    </xf>
    <xf numFmtId="0" fontId="50" fillId="0" borderId="22" xfId="0" applyFont="1" applyBorder="1" applyAlignment="1" applyProtection="1">
      <alignment horizontal="center" vertical="center"/>
      <protection locked="0"/>
    </xf>
    <xf numFmtId="0" fontId="50" fillId="0" borderId="7" xfId="0" applyFont="1" applyBorder="1" applyAlignment="1" applyProtection="1">
      <alignment horizontal="center" vertical="center"/>
      <protection locked="0"/>
    </xf>
    <xf numFmtId="0" fontId="50" fillId="0" borderId="23" xfId="0" applyFont="1" applyBorder="1" applyAlignment="1" applyProtection="1">
      <alignment horizontal="center" vertical="center"/>
      <protection locked="0"/>
    </xf>
    <xf numFmtId="49" fontId="9" fillId="0" borderId="5" xfId="0" applyNumberFormat="1" applyFont="1" applyBorder="1" applyAlignment="1" applyProtection="1">
      <alignment horizontal="center"/>
      <protection locked="0"/>
    </xf>
    <xf numFmtId="49" fontId="9" fillId="0" borderId="12" xfId="0" applyNumberFormat="1" applyFont="1" applyBorder="1" applyAlignment="1" applyProtection="1">
      <alignment horizontal="center"/>
      <protection locked="0"/>
    </xf>
    <xf numFmtId="0" fontId="3" fillId="12" borderId="2" xfId="0" applyFont="1" applyFill="1" applyBorder="1" applyAlignment="1">
      <alignment vertical="center"/>
    </xf>
    <xf numFmtId="0" fontId="52" fillId="0" borderId="80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37" xfId="0" applyFont="1" applyBorder="1" applyAlignment="1">
      <alignment horizontal="center" vertical="center"/>
    </xf>
    <xf numFmtId="0" fontId="44" fillId="0" borderId="40" xfId="0" applyFont="1" applyBorder="1" applyAlignment="1">
      <alignment horizontal="center" vertical="center"/>
    </xf>
    <xf numFmtId="0" fontId="44" fillId="0" borderId="38" xfId="0" applyFont="1" applyBorder="1" applyAlignment="1">
      <alignment horizontal="center" vertical="center"/>
    </xf>
    <xf numFmtId="0" fontId="44" fillId="0" borderId="33" xfId="0" applyFont="1" applyBorder="1" applyAlignment="1">
      <alignment horizontal="center" vertical="center"/>
    </xf>
    <xf numFmtId="166" fontId="0" fillId="19" borderId="84" xfId="0" applyNumberFormat="1" applyFill="1" applyBorder="1" applyAlignment="1" applyProtection="1">
      <alignment horizontal="center" vertical="center"/>
      <protection locked="0"/>
    </xf>
    <xf numFmtId="166" fontId="0" fillId="19" borderId="30" xfId="0" applyNumberFormat="1" applyFill="1" applyBorder="1" applyAlignment="1" applyProtection="1">
      <alignment horizontal="center" vertical="center"/>
      <protection locked="0"/>
    </xf>
    <xf numFmtId="2" fontId="3" fillId="19" borderId="84" xfId="0" applyNumberFormat="1" applyFont="1" applyFill="1" applyBorder="1" applyAlignment="1" applyProtection="1">
      <alignment horizontal="center" vertical="center"/>
      <protection locked="0"/>
    </xf>
    <xf numFmtId="2" fontId="3" fillId="19" borderId="30" xfId="0" applyNumberFormat="1" applyFont="1" applyFill="1" applyBorder="1" applyAlignment="1" applyProtection="1">
      <alignment horizontal="center" vertical="center"/>
      <protection locked="0"/>
    </xf>
    <xf numFmtId="0" fontId="46" fillId="21" borderId="16" xfId="0" applyFont="1" applyFill="1" applyBorder="1" applyAlignment="1">
      <alignment horizontal="center" vertical="center"/>
    </xf>
    <xf numFmtId="0" fontId="46" fillId="21" borderId="14" xfId="0" applyFont="1" applyFill="1" applyBorder="1" applyAlignment="1">
      <alignment horizontal="center" vertical="center"/>
    </xf>
    <xf numFmtId="0" fontId="46" fillId="21" borderId="73" xfId="0" applyFont="1" applyFill="1" applyBorder="1" applyAlignment="1">
      <alignment horizontal="center" vertical="center"/>
    </xf>
    <xf numFmtId="166" fontId="0" fillId="0" borderId="84" xfId="0" applyNumberFormat="1" applyBorder="1" applyAlignment="1" applyProtection="1">
      <alignment horizontal="center" vertical="center"/>
      <protection hidden="1"/>
    </xf>
    <xf numFmtId="166" fontId="0" fillId="0" borderId="30" xfId="0" applyNumberFormat="1" applyBorder="1" applyAlignment="1" applyProtection="1">
      <alignment horizontal="center" vertical="center"/>
      <protection hidden="1"/>
    </xf>
    <xf numFmtId="2" fontId="0" fillId="0" borderId="84" xfId="0" applyNumberFormat="1" applyBorder="1" applyAlignment="1" applyProtection="1">
      <alignment horizontal="center" vertical="center"/>
      <protection hidden="1"/>
    </xf>
    <xf numFmtId="2" fontId="0" fillId="0" borderId="30" xfId="0" applyNumberFormat="1" applyBorder="1" applyAlignment="1" applyProtection="1">
      <alignment horizontal="center" vertical="center"/>
      <protection hidden="1"/>
    </xf>
    <xf numFmtId="2" fontId="0" fillId="19" borderId="84" xfId="0" applyNumberFormat="1" applyFill="1" applyBorder="1" applyAlignment="1" applyProtection="1">
      <alignment horizontal="center" vertical="center"/>
      <protection locked="0"/>
    </xf>
    <xf numFmtId="2" fontId="0" fillId="19" borderId="30" xfId="0" applyNumberFormat="1" applyFill="1" applyBorder="1" applyAlignment="1" applyProtection="1">
      <alignment horizontal="center" vertical="center"/>
      <protection locked="0"/>
    </xf>
    <xf numFmtId="2" fontId="3" fillId="19" borderId="85" xfId="0" applyNumberFormat="1" applyFont="1" applyFill="1" applyBorder="1" applyAlignment="1" applyProtection="1">
      <alignment horizontal="center" vertical="center"/>
      <protection locked="0"/>
    </xf>
    <xf numFmtId="2" fontId="3" fillId="19" borderId="43" xfId="0" applyNumberFormat="1" applyFont="1" applyFill="1" applyBorder="1" applyAlignment="1" applyProtection="1">
      <alignment horizontal="center" vertical="center"/>
      <protection locked="0"/>
    </xf>
    <xf numFmtId="165" fontId="0" fillId="0" borderId="84" xfId="0" applyNumberFormat="1" applyBorder="1" applyAlignment="1" applyProtection="1">
      <alignment horizontal="center" vertical="center"/>
      <protection hidden="1"/>
    </xf>
    <xf numFmtId="165" fontId="0" fillId="0" borderId="30" xfId="0" applyNumberFormat="1" applyBorder="1" applyAlignment="1" applyProtection="1">
      <alignment horizontal="center" vertical="center"/>
      <protection hidden="1"/>
    </xf>
    <xf numFmtId="0" fontId="46" fillId="21" borderId="77" xfId="0" applyFont="1" applyFill="1" applyBorder="1" applyAlignment="1">
      <alignment horizontal="center"/>
    </xf>
    <xf numFmtId="0" fontId="46" fillId="21" borderId="78" xfId="0" applyFont="1" applyFill="1" applyBorder="1" applyAlignment="1">
      <alignment horizontal="center"/>
    </xf>
    <xf numFmtId="0" fontId="46" fillId="21" borderId="89" xfId="0" applyFont="1" applyFill="1" applyBorder="1" applyAlignment="1">
      <alignment horizontal="center"/>
    </xf>
    <xf numFmtId="0" fontId="3" fillId="0" borderId="20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104" xfId="0" applyFont="1" applyBorder="1" applyAlignment="1">
      <alignment horizontal="left"/>
    </xf>
    <xf numFmtId="0" fontId="3" fillId="12" borderId="88" xfId="0" applyFont="1" applyFill="1" applyBorder="1"/>
    <xf numFmtId="0" fontId="3" fillId="12" borderId="69" xfId="0" applyFont="1" applyFill="1" applyBorder="1"/>
    <xf numFmtId="0" fontId="3" fillId="12" borderId="70" xfId="0" applyFont="1" applyFill="1" applyBorder="1" applyAlignment="1">
      <alignment horizontal="left"/>
    </xf>
    <xf numFmtId="0" fontId="3" fillId="12" borderId="69" xfId="0" applyFont="1" applyFill="1" applyBorder="1" applyAlignment="1">
      <alignment horizontal="left"/>
    </xf>
    <xf numFmtId="0" fontId="46" fillId="21" borderId="79" xfId="0" applyFont="1" applyFill="1" applyBorder="1" applyAlignment="1">
      <alignment horizontal="center"/>
    </xf>
    <xf numFmtId="0" fontId="3" fillId="0" borderId="72" xfId="0" applyFont="1" applyBorder="1" applyAlignment="1">
      <alignment horizontal="left"/>
    </xf>
    <xf numFmtId="0" fontId="3" fillId="0" borderId="86" xfId="0" applyFont="1" applyBorder="1" applyAlignment="1">
      <alignment horizontal="left"/>
    </xf>
    <xf numFmtId="0" fontId="46" fillId="21" borderId="16" xfId="0" applyFont="1" applyFill="1" applyBorder="1" applyAlignment="1">
      <alignment horizontal="center"/>
    </xf>
    <xf numFmtId="0" fontId="46" fillId="21" borderId="14" xfId="0" applyFont="1" applyFill="1" applyBorder="1" applyAlignment="1">
      <alignment horizontal="center"/>
    </xf>
    <xf numFmtId="0" fontId="46" fillId="21" borderId="73" xfId="0" applyFont="1" applyFill="1" applyBorder="1" applyAlignment="1">
      <alignment horizontal="center"/>
    </xf>
    <xf numFmtId="165" fontId="49" fillId="15" borderId="101" xfId="0" applyNumberFormat="1" applyFont="1" applyFill="1" applyBorder="1" applyAlignment="1" applyProtection="1">
      <alignment horizontal="center" vertical="center"/>
      <protection hidden="1"/>
    </xf>
    <xf numFmtId="165" fontId="49" fillId="15" borderId="102" xfId="0" applyNumberFormat="1" applyFont="1" applyFill="1" applyBorder="1" applyAlignment="1" applyProtection="1">
      <alignment horizontal="center" vertical="center"/>
      <protection hidden="1"/>
    </xf>
    <xf numFmtId="165" fontId="49" fillId="15" borderId="103" xfId="0" applyNumberFormat="1" applyFont="1" applyFill="1" applyBorder="1" applyAlignment="1" applyProtection="1">
      <alignment horizontal="center" vertical="center"/>
      <protection hidden="1"/>
    </xf>
    <xf numFmtId="0" fontId="0" fillId="19" borderId="84" xfId="0" applyFill="1" applyBorder="1" applyAlignment="1" applyProtection="1">
      <alignment horizontal="center"/>
      <protection locked="0"/>
    </xf>
    <xf numFmtId="0" fontId="0" fillId="19" borderId="30" xfId="0" applyFill="1" applyBorder="1" applyAlignment="1" applyProtection="1">
      <alignment horizontal="center"/>
      <protection locked="0"/>
    </xf>
    <xf numFmtId="0" fontId="0" fillId="0" borderId="80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80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horizontal="left" vertical="top" wrapText="1"/>
      <protection locked="0"/>
    </xf>
    <xf numFmtId="0" fontId="4" fillId="0" borderId="37" xfId="0" applyFont="1" applyBorder="1" applyAlignment="1" applyProtection="1">
      <alignment horizontal="left" vertical="top" wrapText="1"/>
      <protection locked="0"/>
    </xf>
    <xf numFmtId="0" fontId="4" fillId="0" borderId="40" xfId="0" applyFont="1" applyBorder="1" applyAlignment="1" applyProtection="1">
      <alignment horizontal="left" vertical="top" wrapText="1"/>
      <protection locked="0"/>
    </xf>
    <xf numFmtId="0" fontId="4" fillId="0" borderId="38" xfId="0" applyFont="1" applyBorder="1" applyAlignment="1" applyProtection="1">
      <alignment horizontal="left" vertical="top" wrapText="1"/>
      <protection locked="0"/>
    </xf>
    <xf numFmtId="0" fontId="4" fillId="0" borderId="33" xfId="0" applyFont="1" applyBorder="1" applyAlignment="1" applyProtection="1">
      <alignment horizontal="left" vertical="top" wrapText="1"/>
      <protection locked="0"/>
    </xf>
    <xf numFmtId="2" fontId="0" fillId="9" borderId="84" xfId="0" applyNumberFormat="1" applyFill="1" applyBorder="1" applyAlignment="1" applyProtection="1">
      <alignment horizontal="center" vertical="center"/>
      <protection hidden="1"/>
    </xf>
    <xf numFmtId="2" fontId="0" fillId="9" borderId="30" xfId="0" applyNumberFormat="1" applyFill="1" applyBorder="1" applyAlignment="1" applyProtection="1">
      <alignment horizontal="center" vertical="center"/>
      <protection hidden="1"/>
    </xf>
    <xf numFmtId="0" fontId="3" fillId="0" borderId="70" xfId="0" applyFont="1" applyBorder="1" applyAlignment="1">
      <alignment horizontal="left"/>
    </xf>
    <xf numFmtId="0" fontId="3" fillId="0" borderId="69" xfId="0" applyFont="1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3" fillId="0" borderId="81" xfId="0" applyFont="1" applyBorder="1" applyAlignment="1">
      <alignment horizontal="left" vertical="center"/>
    </xf>
    <xf numFmtId="0" fontId="3" fillId="0" borderId="82" xfId="0" applyFont="1" applyBorder="1" applyAlignment="1">
      <alignment horizontal="left" vertical="center"/>
    </xf>
    <xf numFmtId="0" fontId="3" fillId="0" borderId="83" xfId="0" applyFont="1" applyBorder="1" applyAlignment="1">
      <alignment horizontal="left" vertical="center"/>
    </xf>
    <xf numFmtId="0" fontId="3" fillId="15" borderId="95" xfId="0" applyFont="1" applyFill="1" applyBorder="1" applyAlignment="1">
      <alignment horizontal="center"/>
    </xf>
    <xf numFmtId="0" fontId="3" fillId="15" borderId="96" xfId="0" applyFont="1" applyFill="1" applyBorder="1" applyAlignment="1">
      <alignment horizontal="center"/>
    </xf>
    <xf numFmtId="0" fontId="3" fillId="15" borderId="97" xfId="0" applyFont="1" applyFill="1" applyBorder="1" applyAlignment="1">
      <alignment horizontal="center"/>
    </xf>
    <xf numFmtId="165" fontId="49" fillId="15" borderId="98" xfId="0" applyNumberFormat="1" applyFont="1" applyFill="1" applyBorder="1" applyAlignment="1" applyProtection="1">
      <alignment horizontal="center" vertical="center"/>
      <protection hidden="1"/>
    </xf>
    <xf numFmtId="165" fontId="49" fillId="15" borderId="99" xfId="0" applyNumberFormat="1" applyFont="1" applyFill="1" applyBorder="1" applyAlignment="1" applyProtection="1">
      <alignment horizontal="center" vertical="center"/>
      <protection hidden="1"/>
    </xf>
    <xf numFmtId="165" fontId="49" fillId="15" borderId="100" xfId="0" applyNumberFormat="1" applyFont="1" applyFill="1" applyBorder="1" applyAlignment="1" applyProtection="1">
      <alignment horizontal="center" vertical="center"/>
      <protection hidden="1"/>
    </xf>
    <xf numFmtId="0" fontId="2" fillId="0" borderId="70" xfId="0" applyFont="1" applyBorder="1" applyAlignment="1">
      <alignment horizontal="center"/>
    </xf>
    <xf numFmtId="0" fontId="2" fillId="0" borderId="69" xfId="0" applyFont="1" applyBorder="1" applyAlignment="1">
      <alignment horizontal="center"/>
    </xf>
    <xf numFmtId="0" fontId="2" fillId="0" borderId="84" xfId="0" applyFont="1" applyBorder="1" applyAlignment="1">
      <alignment horizontal="center"/>
    </xf>
  </cellXfs>
  <cellStyles count="3">
    <cellStyle name="Normal" xfId="0" builtinId="0"/>
    <cellStyle name="Normal 2" xfId="1" xr:uid="{2AE8406D-B968-4463-BD91-65C093A7BC05}"/>
    <cellStyle name="Note 2" xfId="2" xr:uid="{97C45706-914F-44E6-BED3-48F4D534E24D}"/>
  </cellStyles>
  <dxfs count="10"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CC"/>
      <color rgb="FFF5EA0B"/>
      <color rgb="FF5B9BD5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8791002140064"/>
          <c:y val="0.17859695380917151"/>
          <c:w val="0.795248132874665"/>
          <c:h val="0.75884382316115295"/>
        </c:manualLayout>
      </c:layout>
      <c:scatterChart>
        <c:scatterStyle val="smoothMarker"/>
        <c:varyColors val="0"/>
        <c:ser>
          <c:idx val="0"/>
          <c:order val="0"/>
          <c:tx>
            <c:v>Vertikaltrykk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(Beregning!$B$71,Beregning!$B$73,Beregning!$B$74)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(Beregning!$D$71,Beregning!$D$73,Beregning!$D$74)</c:f>
              <c:numCache>
                <c:formatCode>0.0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BC-4E84-85E6-7409AFC0D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45960"/>
        <c:axId val="434948584"/>
      </c:scatterChart>
      <c:valAx>
        <c:axId val="43494596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Jordtrykk</a:t>
                </a:r>
                <a:r>
                  <a:rPr lang="nb-NO" baseline="0"/>
                  <a:t> [kPa]</a:t>
                </a:r>
                <a:endParaRPr lang="nb-NO"/>
              </a:p>
            </c:rich>
          </c:tx>
          <c:layout>
            <c:manualLayout>
              <c:xMode val="edge"/>
              <c:yMode val="edge"/>
              <c:x val="0.4204166070150322"/>
              <c:y val="1.137440418721373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948584"/>
        <c:crosses val="autoZero"/>
        <c:crossBetween val="midCat"/>
      </c:valAx>
      <c:valAx>
        <c:axId val="43494858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Dybde</a:t>
                </a:r>
                <a:r>
                  <a:rPr lang="nb-NO" baseline="0"/>
                  <a:t> [m]</a:t>
                </a:r>
                <a:endParaRPr lang="nb-NO"/>
              </a:p>
            </c:rich>
          </c:tx>
          <c:layout>
            <c:manualLayout>
              <c:xMode val="edge"/>
              <c:yMode val="edge"/>
              <c:x val="3.6363636363636364E-3"/>
              <c:y val="0.45127008209274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4945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chart" Target="../charts/chart1.xml"/><Relationship Id="rId7" Type="http://schemas.openxmlformats.org/officeDocument/2006/relationships/image" Target="../media/image7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1503092</xdr:colOff>
      <xdr:row>2</xdr:row>
      <xdr:rowOff>124238</xdr:rowOff>
    </xdr:from>
    <xdr:to>
      <xdr:col>5</xdr:col>
      <xdr:colOff>3856546</xdr:colOff>
      <xdr:row>3</xdr:row>
      <xdr:rowOff>157369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2092" y="505238"/>
          <a:ext cx="2353454" cy="223631"/>
        </a:xfrm>
        <a:prstGeom prst="rect">
          <a:avLst/>
        </a:prstGeom>
      </xdr:spPr>
    </xdr:pic>
    <xdr:clientData/>
  </xdr:twoCellAnchor>
  <xdr:twoCellAnchor>
    <xdr:from>
      <xdr:col>0</xdr:col>
      <xdr:colOff>530087</xdr:colOff>
      <xdr:row>12</xdr:row>
      <xdr:rowOff>99393</xdr:rowOff>
    </xdr:from>
    <xdr:to>
      <xdr:col>5</xdr:col>
      <xdr:colOff>3884544</xdr:colOff>
      <xdr:row>17</xdr:row>
      <xdr:rowOff>182219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30087" y="2566368"/>
          <a:ext cx="6783457" cy="1073426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nb-NO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Kommentarer</a:t>
          </a:r>
          <a:endParaRPr kumimoji="0" lang="nb-NO" sz="1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nb-NO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0</xdr:rowOff>
    </xdr:from>
    <xdr:to>
      <xdr:col>5</xdr:col>
      <xdr:colOff>0</xdr:colOff>
      <xdr:row>0</xdr:row>
      <xdr:rowOff>0</xdr:rowOff>
    </xdr:to>
    <xdr:sp macro="" textlink="">
      <xdr:nvSpPr>
        <xdr:cNvPr id="1025" name="Tekst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 txBox="1">
          <a:spLocks noChangeArrowheads="1"/>
        </xdr:cNvSpPr>
      </xdr:nvSpPr>
      <xdr:spPr bwMode="auto">
        <a:xfrm>
          <a:off x="295275" y="0"/>
          <a:ext cx="39147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18288" anchor="ctr" upright="1"/>
        <a:lstStyle/>
        <a:p>
          <a:pPr algn="l" rtl="0">
            <a:defRPr sz="1000"/>
          </a:pPr>
          <a:r>
            <a:rPr lang="nb-NO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Prosjektopplysninger: Brunsvik</a:t>
          </a:r>
        </a:p>
      </xdr:txBody>
    </xdr:sp>
    <xdr:clientData/>
  </xdr:twoCellAnchor>
  <xdr:twoCellAnchor editAs="oneCell">
    <xdr:from>
      <xdr:col>23</xdr:col>
      <xdr:colOff>558800</xdr:colOff>
      <xdr:row>114</xdr:row>
      <xdr:rowOff>152400</xdr:rowOff>
    </xdr:from>
    <xdr:to>
      <xdr:col>27</xdr:col>
      <xdr:colOff>385476</xdr:colOff>
      <xdr:row>125</xdr:row>
      <xdr:rowOff>75895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09100" y="23431500"/>
          <a:ext cx="2295238" cy="2438095"/>
        </a:xfrm>
        <a:prstGeom prst="rect">
          <a:avLst/>
        </a:prstGeom>
      </xdr:spPr>
    </xdr:pic>
    <xdr:clientData/>
  </xdr:twoCellAnchor>
  <xdr:twoCellAnchor editAs="oneCell">
    <xdr:from>
      <xdr:col>9</xdr:col>
      <xdr:colOff>238126</xdr:colOff>
      <xdr:row>56</xdr:row>
      <xdr:rowOff>38100</xdr:rowOff>
    </xdr:from>
    <xdr:to>
      <xdr:col>12</xdr:col>
      <xdr:colOff>371476</xdr:colOff>
      <xdr:row>57</xdr:row>
      <xdr:rowOff>216655</xdr:rowOff>
    </xdr:to>
    <xdr:pic>
      <xdr:nvPicPr>
        <xdr:cNvPr id="11" name="LOG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2851" y="10553700"/>
          <a:ext cx="1962150" cy="407155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65</xdr:row>
      <xdr:rowOff>54768</xdr:rowOff>
    </xdr:from>
    <xdr:to>
      <xdr:col>12</xdr:col>
      <xdr:colOff>508662</xdr:colOff>
      <xdr:row>74</xdr:row>
      <xdr:rowOff>198968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40714</xdr:colOff>
      <xdr:row>78</xdr:row>
      <xdr:rowOff>33095</xdr:rowOff>
    </xdr:from>
    <xdr:to>
      <xdr:col>12</xdr:col>
      <xdr:colOff>574806</xdr:colOff>
      <xdr:row>83</xdr:row>
      <xdr:rowOff>1343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20445" y="16833730"/>
          <a:ext cx="3574765" cy="1099036"/>
        </a:xfrm>
        <a:prstGeom prst="rect">
          <a:avLst/>
        </a:prstGeom>
      </xdr:spPr>
    </xdr:pic>
    <xdr:clientData/>
  </xdr:twoCellAnchor>
  <xdr:twoCellAnchor editAs="oneCell">
    <xdr:from>
      <xdr:col>7</xdr:col>
      <xdr:colOff>71439</xdr:colOff>
      <xdr:row>84</xdr:row>
      <xdr:rowOff>23813</xdr:rowOff>
    </xdr:from>
    <xdr:to>
      <xdr:col>12</xdr:col>
      <xdr:colOff>301625</xdr:colOff>
      <xdr:row>89</xdr:row>
      <xdr:rowOff>210631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0939" y="18200688"/>
          <a:ext cx="3286124" cy="1337756"/>
        </a:xfrm>
        <a:prstGeom prst="rect">
          <a:avLst/>
        </a:prstGeom>
      </xdr:spPr>
    </xdr:pic>
    <xdr:clientData/>
  </xdr:twoCellAnchor>
  <xdr:twoCellAnchor editAs="oneCell">
    <xdr:from>
      <xdr:col>7</xdr:col>
      <xdr:colOff>103189</xdr:colOff>
      <xdr:row>90</xdr:row>
      <xdr:rowOff>15877</xdr:rowOff>
    </xdr:from>
    <xdr:to>
      <xdr:col>11</xdr:col>
      <xdr:colOff>373063</xdr:colOff>
      <xdr:row>96</xdr:row>
      <xdr:rowOff>220208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92689" y="19573877"/>
          <a:ext cx="2714624" cy="1585456"/>
        </a:xfrm>
        <a:prstGeom prst="rect">
          <a:avLst/>
        </a:prstGeom>
      </xdr:spPr>
    </xdr:pic>
    <xdr:clientData/>
  </xdr:twoCellAnchor>
  <xdr:twoCellAnchor editAs="oneCell">
    <xdr:from>
      <xdr:col>7</xdr:col>
      <xdr:colOff>119062</xdr:colOff>
      <xdr:row>97</xdr:row>
      <xdr:rowOff>63499</xdr:rowOff>
    </xdr:from>
    <xdr:to>
      <xdr:col>12</xdr:col>
      <xdr:colOff>230187</xdr:colOff>
      <xdr:row>102</xdr:row>
      <xdr:rowOff>158113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008562" y="21232812"/>
          <a:ext cx="3167063" cy="1245551"/>
        </a:xfrm>
        <a:prstGeom prst="rect">
          <a:avLst/>
        </a:prstGeom>
      </xdr:spPr>
    </xdr:pic>
    <xdr:clientData/>
  </xdr:twoCellAnchor>
  <xdr:oneCellAnchor>
    <xdr:from>
      <xdr:col>13</xdr:col>
      <xdr:colOff>28575</xdr:colOff>
      <xdr:row>0</xdr:row>
      <xdr:rowOff>19051</xdr:rowOff>
    </xdr:from>
    <xdr:ext cx="7677150" cy="9686924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9791700" y="19051"/>
          <a:ext cx="7677150" cy="9686924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400" b="1">
              <a:latin typeface="Arial" panose="020B0604020202020204" pitchFamily="34" charset="0"/>
              <a:cs typeface="Arial" panose="020B0604020202020204" pitchFamily="34" charset="0"/>
            </a:rPr>
            <a:t>Beskrivelse</a:t>
          </a:r>
          <a:r>
            <a:rPr lang="nb-NO" sz="1400" b="1" baseline="0">
              <a:latin typeface="Arial" panose="020B0604020202020204" pitchFamily="34" charset="0"/>
              <a:cs typeface="Arial" panose="020B0604020202020204" pitchFamily="34" charset="0"/>
            </a:rPr>
            <a:t> av regnearket</a:t>
          </a:r>
          <a:endParaRPr lang="nb-NO" sz="1400" b="1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nb-NO" sz="1100">
              <a:latin typeface="+mn-lt"/>
              <a:cs typeface="Arial" panose="020B0604020202020204" pitchFamily="34" charset="0"/>
            </a:rPr>
            <a:t>Regnearket</a:t>
          </a:r>
          <a:r>
            <a:rPr lang="nb-NO" sz="1100" baseline="0">
              <a:latin typeface="+mn-lt"/>
              <a:cs typeface="Arial" panose="020B0604020202020204" pitchFamily="34" charset="0"/>
            </a:rPr>
            <a:t> er basert på et tidligere regneark for tørrmurberegning iht. håndbok 016 opprinnelig utarbeidet av Karl Sigurd Fredriksen (rapport nr. 101 i Laboratorieserien) og videreutviklet av Ove Lars Strømme og Arild Sleipnes. Dette regnearket er en videreutvikling for å imøtekomme endringer for beregninger for nyeste håndbok V220 (2022). </a:t>
          </a:r>
        </a:p>
        <a:p>
          <a:endParaRPr lang="nb-NO" sz="1100" baseline="0">
            <a:latin typeface="+mn-lt"/>
            <a:cs typeface="Arial" panose="020B0604020202020204" pitchFamily="34" charset="0"/>
          </a:endParaRPr>
        </a:p>
        <a:p>
          <a:r>
            <a:rPr lang="nb-NO" sz="1100" baseline="0">
              <a:latin typeface="+mn-lt"/>
              <a:cs typeface="Arial" panose="020B0604020202020204" pitchFamily="34" charset="0"/>
            </a:rPr>
            <a:t>Endringene som er gjort innebærer hovedsaklig endring av utskriftsoppsett, innføring av boggilast q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Qk</a:t>
          </a:r>
          <a:r>
            <a:rPr lang="nb-NO" sz="1100" baseline="0">
              <a:latin typeface="+mn-lt"/>
              <a:cs typeface="Arial" panose="020B0604020202020204" pitchFamily="34" charset="0"/>
            </a:rPr>
            <a:t>, innføring av vertikal- og horisontal punktlaster (P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H</a:t>
          </a:r>
          <a:r>
            <a:rPr lang="nb-NO" sz="1100" baseline="0">
              <a:latin typeface="+mn-lt"/>
              <a:cs typeface="Arial" panose="020B0604020202020204" pitchFamily="34" charset="0"/>
            </a:rPr>
            <a:t> og P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V</a:t>
          </a:r>
          <a:r>
            <a:rPr lang="nb-NO" sz="1100" baseline="0">
              <a:latin typeface="+mn-lt"/>
              <a:cs typeface="Arial" panose="020B0604020202020204" pitchFamily="34" charset="0"/>
            </a:rPr>
            <a:t>) med tilhørende eksentrisitet (y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P</a:t>
          </a:r>
          <a:r>
            <a:rPr lang="nb-NO" sz="1100" baseline="0">
              <a:latin typeface="+mn-lt"/>
              <a:cs typeface="Arial" panose="020B0604020202020204" pitchFamily="34" charset="0"/>
            </a:rPr>
            <a:t> og x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P</a:t>
          </a:r>
          <a:r>
            <a:rPr lang="nb-NO" sz="1100" baseline="0">
              <a:latin typeface="+mn-lt"/>
              <a:cs typeface="Arial" panose="020B0604020202020204" pitchFamily="34" charset="0"/>
            </a:rPr>
            <a:t>). I tillegg er det innført en presisering vedrørende effekt av økt attraksjon ved skrånende terreng bak muren (</a:t>
          </a:r>
          <a:r>
            <a:rPr lang="el-GR" sz="1100" baseline="0">
              <a:latin typeface="+mn-lt"/>
              <a:cs typeface="Arial" panose="020B0604020202020204" pitchFamily="34" charset="0"/>
            </a:rPr>
            <a:t>β</a:t>
          </a:r>
          <a:r>
            <a:rPr lang="nb-NO" sz="1100" baseline="0">
              <a:latin typeface="+mn-lt"/>
              <a:cs typeface="Arial" panose="020B0604020202020204" pitchFamily="34" charset="0"/>
            </a:rPr>
            <a:t>&gt;0). </a:t>
          </a:r>
        </a:p>
        <a:p>
          <a:endParaRPr lang="nb-NO" sz="1100" baseline="0">
            <a:latin typeface="+mn-lt"/>
            <a:cs typeface="Arial" panose="020B0604020202020204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Regnearket benytter samme notasjoner som håndbok V220 (2022) og det henvises til figur 9-6 og kap. 9.3.</a:t>
          </a:r>
          <a:endParaRPr lang="nb-NO" sz="1100" baseline="-25000">
            <a:latin typeface="+mn-lt"/>
            <a:cs typeface="Arial" panose="020B0604020202020204" pitchFamily="34" charset="0"/>
          </a:endParaRPr>
        </a:p>
        <a:p>
          <a:endParaRPr lang="nb-NO" sz="1100"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Det er lagt til rutiner for automatisk beregning av faktorene K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K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 N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N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f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sq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og f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sa.   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Formelverket er i henhold til 2010 utgaven av håndbok 016.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 dette ligger også de nødvendige justeringene med hensyn hellende terreng foran og bak muren samt helning av bakskråningen i forbindelse med beregning av jordtrykk og bæreevne.  </a:t>
          </a:r>
          <a:endParaRPr lang="nb-NO" sz="1100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nb-NO" sz="1100"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Kravet til ruhet i fundamentfugen gjelder for grus og sprengtstein under såle ved f større eller lik 32° og for leire og silt ved mindre friksjonsvinkel. Skrått terreng foran såle antas når 1/tan(</a:t>
          </a:r>
          <a:r>
            <a:rPr lang="el-GR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α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 er mindre enn 10.  Effektiv bredde, b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av muren settes til 90% av bunnblokkens bredde minus 2 ganger lastresultantens eksentrisitet med fortegn.  I tillegg er det lagt inn krav om at b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ikke skal være større enn total bredde av bunn mur inkl.eventuelle ekstra bredde av bunnblokk(er).  Ekstra bredde av bunnblokker, b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tas kun med i beregningen av b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dersom vertikalresultantes eksentrisitet er negativ.</a:t>
          </a:r>
          <a:endParaRPr lang="nb-NO">
            <a:effectLst/>
          </a:endParaRPr>
        </a:p>
        <a:p>
          <a:endParaRPr lang="nb-NO" sz="1100"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Det er viktig å være klar over at regneark har begrensninger ved bruk og man må vurdere om geometrien i hvert enkelt tilfelle kan forenkles til å gi tilfredsstillende nøyaktighet. Ved beregning av bæreevne må man gi inn midlere effektiv tyngdetetthet under muren, g'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under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med virkning til dybde inntil 1,5 x B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 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ved beregning av Ng leddet. Grunnvann i terreng gir g'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under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g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under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- 9.8 og grunnvann dypere enn 1,5 x Bo gir g' = g. Ved grunnvann f.eks. 2 m under terreng må midlere verdi vurderes skjønnsmessig. For beregning av overlagring foran/over murfot gis verdi for g'</a:t>
          </a:r>
          <a:r>
            <a:rPr lang="nb-NO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over</a:t>
          </a:r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Legg merke til definisjon av fotdybde i figuren ovenfor</a:t>
          </a:r>
          <a:endParaRPr lang="nb-NO" sz="1100">
            <a:effectLst/>
            <a:latin typeface="+mn-lt"/>
          </a:endParaRPr>
        </a:p>
        <a:p>
          <a:endParaRPr lang="nb-NO" sz="1100">
            <a:latin typeface="+mn-lt"/>
            <a:cs typeface="Arial" panose="020B0604020202020204" pitchFamily="34" charset="0"/>
          </a:endParaRPr>
        </a:p>
        <a:p>
          <a:r>
            <a:rPr lang="nb-NO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Det er lagt inn en tilpasning iht. til figur 9.7 når muren har bakoverhelning</a:t>
          </a:r>
          <a:endParaRPr lang="nb-NO" sz="1100">
            <a:latin typeface="+mn-lt"/>
            <a:cs typeface="Arial" panose="020B0604020202020204" pitchFamily="34" charset="0"/>
          </a:endParaRPr>
        </a:p>
        <a:p>
          <a:endParaRPr lang="nb-NO" sz="1100">
            <a:latin typeface="+mn-lt"/>
            <a:cs typeface="Arial" panose="020B0604020202020204" pitchFamily="34" charset="0"/>
          </a:endParaRPr>
        </a:p>
        <a:p>
          <a:r>
            <a:rPr lang="nb-NO" sz="1100">
              <a:latin typeface="+mn-lt"/>
              <a:cs typeface="Arial" panose="020B0604020202020204" pitchFamily="34" charset="0"/>
            </a:rPr>
            <a:t>Ekstra</a:t>
          </a:r>
          <a:r>
            <a:rPr lang="nb-NO" sz="1100" baseline="0">
              <a:latin typeface="+mn-lt"/>
              <a:cs typeface="Arial" panose="020B0604020202020204" pitchFamily="34" charset="0"/>
            </a:rPr>
            <a:t> murbredde ved bunn legges kun til den effektive fundamentbredden dersom vertikalresultantens eksentrisitet, e, er negativ eller det velges støpt såle. </a:t>
          </a:r>
          <a:r>
            <a:rPr lang="nb-NO" sz="1100">
              <a:latin typeface="+mn-lt"/>
              <a:cs typeface="Arial" panose="020B0604020202020204" pitchFamily="34" charset="0"/>
            </a:rPr>
            <a:t>Dersom</a:t>
          </a:r>
          <a:r>
            <a:rPr lang="nb-NO" sz="1100" baseline="0">
              <a:latin typeface="+mn-lt"/>
              <a:cs typeface="Arial" panose="020B0604020202020204" pitchFamily="34" charset="0"/>
            </a:rPr>
            <a:t> vertikalresultantens eksentritet er negativ og b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x</a:t>
          </a:r>
          <a:r>
            <a:rPr lang="nb-NO" sz="1100" baseline="0">
              <a:latin typeface="+mn-lt"/>
              <a:cs typeface="Arial" panose="020B0604020202020204" pitchFamily="34" charset="0"/>
            </a:rPr>
            <a:t> = 0 anbefales det å vurdere lavere verdi for vertkal ruhet r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v</a:t>
          </a:r>
          <a:r>
            <a:rPr lang="nb-NO" sz="1100" baseline="0">
              <a:latin typeface="+mn-lt"/>
              <a:cs typeface="Arial" panose="020B0604020202020204" pitchFamily="34" charset="0"/>
            </a:rPr>
            <a:t> og beregne på nytt. </a:t>
          </a:r>
        </a:p>
        <a:p>
          <a:endParaRPr lang="nb-NO" sz="1100">
            <a:latin typeface="+mn-lt"/>
            <a:cs typeface="Arial" panose="020B0604020202020204" pitchFamily="34" charset="0"/>
          </a:endParaRPr>
        </a:p>
        <a:p>
          <a:r>
            <a:rPr lang="nb-NO" sz="1100">
              <a:latin typeface="+mn-lt"/>
              <a:cs typeface="Arial" panose="020B0604020202020204" pitchFamily="34" charset="0"/>
            </a:rPr>
            <a:t>Presiseringer:</a:t>
          </a:r>
        </a:p>
        <a:p>
          <a:endParaRPr lang="nb-NO" sz="1100">
            <a:latin typeface="+mn-lt"/>
            <a:cs typeface="Arial" panose="020B0604020202020204" pitchFamily="34" charset="0"/>
          </a:endParaRPr>
        </a:p>
        <a:p>
          <a:r>
            <a:rPr lang="nb-NO" sz="1100">
              <a:latin typeface="+mn-lt"/>
              <a:cs typeface="Arial" panose="020B0604020202020204" pitchFamily="34" charset="0"/>
            </a:rPr>
            <a:t>1)</a:t>
          </a:r>
          <a:r>
            <a:rPr lang="nb-NO" sz="1100" baseline="0">
              <a:latin typeface="+mn-lt"/>
              <a:cs typeface="Arial" panose="020B0604020202020204" pitchFamily="34" charset="0"/>
            </a:rPr>
            <a:t> -</a:t>
          </a:r>
          <a:r>
            <a:rPr lang="nb-NO" sz="1100">
              <a:latin typeface="+mn-lt"/>
              <a:cs typeface="Arial" panose="020B0604020202020204" pitchFamily="34" charset="0"/>
            </a:rPr>
            <a:t> 2)</a:t>
          </a:r>
          <a:r>
            <a:rPr lang="nb-NO" sz="1100" baseline="0">
              <a:latin typeface="+mn-lt"/>
              <a:cs typeface="Arial" panose="020B0604020202020204" pitchFamily="34" charset="0"/>
            </a:rPr>
            <a:t> Nyttelast q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k</a:t>
          </a:r>
          <a:r>
            <a:rPr lang="nb-NO" sz="1100" baseline="0">
              <a:latin typeface="+mn-lt"/>
              <a:cs typeface="Arial" panose="020B0604020202020204" pitchFamily="34" charset="0"/>
            </a:rPr>
            <a:t> bak mur beregnes som firkantlast over hele murens høyde. Boggilast q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Qk</a:t>
          </a:r>
          <a:r>
            <a:rPr lang="nb-NO" sz="1100" baseline="0">
              <a:latin typeface="+mn-lt"/>
              <a:cs typeface="Arial" panose="020B0604020202020204" pitchFamily="34" charset="0"/>
            </a:rPr>
            <a:t> beregnes som trekantlast ned til 5 meter dybde under topp av mur. Last velges i henhold til kapittel 0.1.6 i V220. </a:t>
          </a:r>
          <a:r>
            <a:rPr lang="nb-NO" sz="1100">
              <a:latin typeface="+mn-lt"/>
              <a:cs typeface="Arial" panose="020B0604020202020204" pitchFamily="34" charset="0"/>
            </a:rPr>
            <a:t>For beregning av jordtrykk og trekantlast (boggilast) medtas ikke grunnvannsnivå (DGV) for tørrmursberegninger da GV antas i fundamentnivå av muren. </a:t>
          </a:r>
        </a:p>
        <a:p>
          <a:endParaRPr lang="nb-NO" sz="1100">
            <a:latin typeface="+mn-lt"/>
            <a:cs typeface="Arial" panose="020B0604020202020204" pitchFamily="34" charset="0"/>
          </a:endParaRPr>
        </a:p>
        <a:p>
          <a:r>
            <a:rPr lang="nb-NO" sz="1100">
              <a:latin typeface="+mn-lt"/>
              <a:cs typeface="Arial" panose="020B0604020202020204" pitchFamily="34" charset="0"/>
            </a:rPr>
            <a:t>3) Krav</a:t>
          </a:r>
          <a:r>
            <a:rPr lang="nb-NO" sz="1100" baseline="0">
              <a:latin typeface="+mn-lt"/>
              <a:cs typeface="Arial" panose="020B0604020202020204" pitchFamily="34" charset="0"/>
            </a:rPr>
            <a:t> til minimum effektiv fundamentbredde b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0,min </a:t>
          </a:r>
          <a:r>
            <a:rPr lang="nb-NO" sz="1100" baseline="0">
              <a:latin typeface="+mn-lt"/>
              <a:cs typeface="Arial" panose="020B0604020202020204" pitchFamily="34" charset="0"/>
            </a:rPr>
            <a:t>er noe uklar i nyere versjoner av håndbok V220. Derfor videreføres krav til minimum fundamentbredde slik definert i tidligere utgaver av håndboken (2018 og tidligere) da dette ansees mer konservativt. </a:t>
          </a:r>
          <a:endParaRPr lang="nb-NO" sz="1100">
            <a:latin typeface="+mn-lt"/>
            <a:cs typeface="Arial" panose="020B0604020202020204" pitchFamily="34" charset="0"/>
          </a:endParaRPr>
        </a:p>
        <a:p>
          <a:r>
            <a:rPr lang="nb-NO" sz="1100">
              <a:latin typeface="+mn-lt"/>
              <a:cs typeface="Arial" panose="020B0604020202020204" pitchFamily="34" charset="0"/>
            </a:rPr>
            <a:t>Hvis støpt såle velges</a:t>
          </a:r>
          <a:r>
            <a:rPr lang="nb-NO" sz="1100" baseline="0">
              <a:latin typeface="+mn-lt"/>
              <a:cs typeface="Arial" panose="020B0604020202020204" pitchFamily="34" charset="0"/>
            </a:rPr>
            <a:t> "Ja" velges krav til b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0,min</a:t>
          </a:r>
          <a:r>
            <a:rPr lang="nb-NO" sz="1100" baseline="0">
              <a:latin typeface="+mn-lt"/>
              <a:cs typeface="Arial" panose="020B0604020202020204" pitchFamily="34" charset="0"/>
            </a:rPr>
            <a:t> ≥ b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b</a:t>
          </a:r>
          <a:r>
            <a:rPr lang="nb-NO" sz="1100" baseline="0">
              <a:latin typeface="+mn-lt"/>
              <a:cs typeface="Arial" panose="020B0604020202020204" pitchFamily="34" charset="0"/>
            </a:rPr>
            <a:t> - 2 ∙ (b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b</a:t>
          </a:r>
          <a:r>
            <a:rPr lang="nb-NO" sz="1100" baseline="0">
              <a:latin typeface="+mn-lt"/>
              <a:cs typeface="Arial" panose="020B0604020202020204" pitchFamily="34" charset="0"/>
            </a:rPr>
            <a:t>/6) = 2∙b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b</a:t>
          </a:r>
          <a:r>
            <a:rPr lang="nb-NO" sz="1100" baseline="0">
              <a:latin typeface="+mn-lt"/>
              <a:cs typeface="Arial" panose="020B0604020202020204" pitchFamily="34" charset="0"/>
            </a:rPr>
            <a:t>/3. For ikke støpte såler benyttes standard </a:t>
          </a:r>
          <a:r>
            <a:rPr lang="nb-NO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nb-NO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0,min</a:t>
          </a:r>
          <a:r>
            <a:rPr lang="nb-NO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≥ 0.9 ∙ b</a:t>
          </a:r>
          <a:r>
            <a:rPr lang="nb-NO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nb-NO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- 2 ∙ (b</a:t>
          </a:r>
          <a:r>
            <a:rPr lang="nb-NO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nb-NO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/6) ≈ 0.57 ∙ b</a:t>
          </a:r>
          <a:r>
            <a:rPr lang="nb-NO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lang="nb-NO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Krav til maksimal eksentrisitet e </a:t>
          </a:r>
          <a:r>
            <a:rPr lang="nb-NO" sz="1100" baseline="0">
              <a:solidFill>
                <a:schemeClr val="tx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≤ b</a:t>
          </a:r>
          <a:r>
            <a:rPr lang="nb-NO" sz="1100" baseline="-25000">
              <a:solidFill>
                <a:schemeClr val="tx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b</a:t>
          </a:r>
          <a:r>
            <a:rPr lang="nb-NO" sz="1100" baseline="0">
              <a:solidFill>
                <a:schemeClr val="tx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/3 gjelder slik som i nyere versjoner V220 (2022). Med støpt såle menes betongsåle som plasseres sentrisk i murfundamentet. </a:t>
          </a:r>
          <a:endParaRPr lang="nb-NO" sz="1100" baseline="-25000">
            <a:latin typeface="+mn-lt"/>
            <a:cs typeface="Arial" panose="020B0604020202020204" pitchFamily="34" charset="0"/>
          </a:endParaRPr>
        </a:p>
        <a:p>
          <a:endParaRPr lang="nb-NO" sz="1100">
            <a:latin typeface="+mn-lt"/>
            <a:cs typeface="Arial" panose="020B0604020202020204" pitchFamily="34" charset="0"/>
          </a:endParaRPr>
        </a:p>
        <a:p>
          <a:r>
            <a:rPr lang="nb-NO" sz="1100">
              <a:latin typeface="+mn-lt"/>
              <a:cs typeface="Arial" panose="020B0604020202020204" pitchFamily="34" charset="0"/>
            </a:rPr>
            <a:t>4) Håndbok V220 foreslår å øke effekten av jordsug ved å innføre faktorene s og </a:t>
          </a:r>
          <a:r>
            <a:rPr lang="el-GR" sz="1100">
              <a:latin typeface="+mn-lt"/>
              <a:cs typeface="Arial" panose="020B0604020202020204" pitchFamily="34" charset="0"/>
            </a:rPr>
            <a:t>ω</a:t>
          </a:r>
          <a:r>
            <a:rPr lang="nb-NO" sz="1100">
              <a:latin typeface="+mn-lt"/>
              <a:cs typeface="Arial" panose="020B0604020202020204" pitchFamily="34" charset="0"/>
            </a:rPr>
            <a:t>A i attraksjonsleddene ved jordtrykksberegninger. Denne har stor effekt av jordtrykket ved økende </a:t>
          </a:r>
          <a:r>
            <a:rPr lang="el-GR" sz="1100">
              <a:latin typeface="+mn-lt"/>
              <a:cs typeface="Arial" panose="020B0604020202020204" pitchFamily="34" charset="0"/>
            </a:rPr>
            <a:t>β </a:t>
          </a:r>
          <a:r>
            <a:rPr lang="nb-NO" sz="1100">
              <a:latin typeface="+mn-lt"/>
              <a:cs typeface="Arial" panose="020B0604020202020204" pitchFamily="34" charset="0"/>
            </a:rPr>
            <a:t>og attraksjon og bør brukes med forsiktighet. For aktivere effekten velges "Ja". Ved å velge "Nei" tar kun effekten av sug i toppen lik situasjon for horisontalt terreng over muren. Beregning av K</a:t>
          </a:r>
          <a:r>
            <a:rPr lang="nb-NO" sz="1100" baseline="-25000">
              <a:latin typeface="+mn-lt"/>
              <a:cs typeface="Arial" panose="020B0604020202020204" pitchFamily="34" charset="0"/>
            </a:rPr>
            <a:t>A</a:t>
          </a:r>
          <a:r>
            <a:rPr lang="nb-NO" sz="1100" baseline="0">
              <a:latin typeface="+mn-lt"/>
              <a:cs typeface="Arial" panose="020B0604020202020204" pitchFamily="34" charset="0"/>
            </a:rPr>
            <a:t> påvirkes ikke. </a:t>
          </a:r>
          <a:endParaRPr lang="nb-NO" sz="1100" baseline="-25000">
            <a:latin typeface="+mn-lt"/>
            <a:cs typeface="Arial" panose="020B0604020202020204" pitchFamily="34" charset="0"/>
          </a:endParaRPr>
        </a:p>
        <a:p>
          <a:endParaRPr lang="nb-NO" sz="11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nb-NO" sz="1100"/>
            <a:t>Revisjon 01:</a:t>
          </a:r>
        </a:p>
        <a:p>
          <a:r>
            <a:rPr lang="nb-NO" sz="1100"/>
            <a:t>Endret kontrollrutine for sjekk av minste effektive fundamentbredde. Endret slik at tillegg i murbredde bx inkluderes i beregning av b0 når støpt såle velges.</a:t>
          </a:r>
          <a:r>
            <a:rPr lang="nb-NO" sz="1100" baseline="0"/>
            <a:t> Separert lastfaktor slik at ulik lastfaktor for nytte- og boggilast kan velges iht. N400.</a:t>
          </a:r>
          <a:r>
            <a:rPr lang="nb-NO" sz="1100"/>
            <a:t> (</a:t>
          </a:r>
          <a:r>
            <a:rPr lang="nb-N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24-07-2024 / FRFA)</a:t>
          </a:r>
          <a:endParaRPr lang="nb-NO" sz="1100"/>
        </a:p>
        <a:p>
          <a:endParaRPr lang="nb-NO" sz="1100"/>
        </a:p>
      </xdr:txBody>
    </xdr:sp>
    <xdr:clientData/>
  </xdr:oneCellAnchor>
  <xdr:twoCellAnchor editAs="oneCell">
    <xdr:from>
      <xdr:col>3</xdr:col>
      <xdr:colOff>123826</xdr:colOff>
      <xdr:row>12</xdr:row>
      <xdr:rowOff>180975</xdr:rowOff>
    </xdr:from>
    <xdr:to>
      <xdr:col>12</xdr:col>
      <xdr:colOff>513818</xdr:colOff>
      <xdr:row>34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85E26C5-9C66-2EEE-4B12-9C83252F8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90951" y="2924175"/>
          <a:ext cx="5876392" cy="4895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02848-E5AD-4781-94F2-1B4E1E83E47E}">
  <dimension ref="B3:F48"/>
  <sheetViews>
    <sheetView showGridLines="0" topLeftCell="A15" zoomScaleNormal="100" zoomScaleSheetLayoutView="100" workbookViewId="0">
      <selection activeCell="H16" sqref="H16"/>
    </sheetView>
  </sheetViews>
  <sheetFormatPr defaultColWidth="9.140625" defaultRowHeight="15" x14ac:dyDescent="0.25"/>
  <cols>
    <col min="1" max="1" width="8.28515625" style="291" customWidth="1"/>
    <col min="2" max="4" width="10.7109375" style="291" customWidth="1"/>
    <col min="5" max="5" width="11" style="291" customWidth="1"/>
    <col min="6" max="6" width="58.42578125" style="291" customWidth="1"/>
    <col min="7" max="7" width="8.28515625" style="291" customWidth="1"/>
    <col min="8" max="9" width="19.28515625" style="291" customWidth="1"/>
    <col min="10" max="16384" width="9.140625" style="291"/>
  </cols>
  <sheetData>
    <row r="3" spans="2:6" ht="15" customHeight="1" x14ac:dyDescent="0.25">
      <c r="B3" s="526" t="s">
        <v>0</v>
      </c>
      <c r="C3" s="526"/>
      <c r="D3" s="526"/>
      <c r="E3" s="526"/>
      <c r="F3" s="528"/>
    </row>
    <row r="4" spans="2:6" ht="18.75" customHeight="1" thickBot="1" x14ac:dyDescent="0.3">
      <c r="B4" s="527"/>
      <c r="C4" s="527"/>
      <c r="D4" s="527"/>
      <c r="E4" s="527"/>
      <c r="F4" s="529"/>
    </row>
    <row r="5" spans="2:6" ht="21" x14ac:dyDescent="0.35">
      <c r="B5" s="292"/>
    </row>
    <row r="6" spans="2:6" x14ac:dyDescent="0.25">
      <c r="B6" s="530" t="s">
        <v>1</v>
      </c>
      <c r="C6" s="531"/>
      <c r="D6" s="532"/>
      <c r="E6" s="532"/>
    </row>
    <row r="7" spans="2:6" ht="15.75" x14ac:dyDescent="0.25">
      <c r="B7" s="533" t="s">
        <v>2</v>
      </c>
      <c r="C7" s="534"/>
      <c r="D7" s="535"/>
      <c r="E7" s="535"/>
    </row>
    <row r="8" spans="2:6" ht="15.75" x14ac:dyDescent="0.25">
      <c r="B8" s="533" t="s">
        <v>3</v>
      </c>
      <c r="C8" s="534"/>
      <c r="D8" s="535"/>
      <c r="E8" s="535"/>
    </row>
    <row r="9" spans="2:6" ht="15.75" x14ac:dyDescent="0.25">
      <c r="B9" s="293"/>
      <c r="C9" s="293"/>
      <c r="D9" s="293"/>
    </row>
    <row r="10" spans="2:6" ht="15.75" x14ac:dyDescent="0.25">
      <c r="B10" s="293"/>
      <c r="D10" s="293" t="s">
        <v>4</v>
      </c>
      <c r="E10" s="293" t="s">
        <v>5</v>
      </c>
    </row>
    <row r="11" spans="2:6" ht="15.75" x14ac:dyDescent="0.25">
      <c r="B11" s="533" t="s">
        <v>6</v>
      </c>
      <c r="C11" s="534"/>
      <c r="D11" s="524"/>
      <c r="E11" s="525"/>
    </row>
    <row r="12" spans="2:6" ht="15.75" x14ac:dyDescent="0.25">
      <c r="B12" s="533" t="s">
        <v>7</v>
      </c>
      <c r="C12" s="534"/>
      <c r="D12" s="524"/>
      <c r="E12" s="525"/>
    </row>
    <row r="13" spans="2:6" ht="15.75" x14ac:dyDescent="0.25">
      <c r="B13" s="294"/>
    </row>
    <row r="14" spans="2:6" x14ac:dyDescent="0.25">
      <c r="B14" s="295"/>
    </row>
    <row r="15" spans="2:6" ht="15.75" x14ac:dyDescent="0.25">
      <c r="B15" s="296"/>
    </row>
    <row r="16" spans="2:6" ht="15.75" x14ac:dyDescent="0.25">
      <c r="B16" s="296"/>
    </row>
    <row r="17" spans="2:6" ht="15.75" x14ac:dyDescent="0.25">
      <c r="B17" s="296"/>
    </row>
    <row r="18" spans="2:6" ht="15.75" x14ac:dyDescent="0.25">
      <c r="B18" s="296"/>
    </row>
    <row r="19" spans="2:6" x14ac:dyDescent="0.25">
      <c r="B19" s="295" t="s">
        <v>8</v>
      </c>
    </row>
    <row r="20" spans="2:6" x14ac:dyDescent="0.25">
      <c r="B20" s="297" t="s">
        <v>9</v>
      </c>
      <c r="C20" s="297" t="s">
        <v>10</v>
      </c>
      <c r="D20" s="297" t="s">
        <v>11</v>
      </c>
      <c r="E20" s="297" t="s">
        <v>5</v>
      </c>
      <c r="F20" s="297" t="s">
        <v>12</v>
      </c>
    </row>
    <row r="21" spans="2:6" x14ac:dyDescent="0.25">
      <c r="B21" s="298">
        <v>0</v>
      </c>
      <c r="C21" s="298" t="s">
        <v>13</v>
      </c>
      <c r="D21" s="299" t="s">
        <v>255</v>
      </c>
      <c r="E21" s="300">
        <v>44984</v>
      </c>
      <c r="F21" s="301" t="s">
        <v>14</v>
      </c>
    </row>
    <row r="22" spans="2:6" ht="18" customHeight="1" x14ac:dyDescent="0.25">
      <c r="B22" s="521">
        <v>1</v>
      </c>
      <c r="C22" s="521" t="s">
        <v>13</v>
      </c>
      <c r="D22" s="521" t="s">
        <v>258</v>
      </c>
      <c r="E22" s="522">
        <v>45555</v>
      </c>
      <c r="F22" s="523" t="s">
        <v>257</v>
      </c>
    </row>
    <row r="23" spans="2:6" x14ac:dyDescent="0.25">
      <c r="B23" s="298"/>
      <c r="C23" s="298"/>
      <c r="D23" s="298"/>
      <c r="E23" s="300"/>
      <c r="F23" s="301"/>
    </row>
    <row r="24" spans="2:6" x14ac:dyDescent="0.25">
      <c r="B24" s="298"/>
      <c r="C24" s="298"/>
      <c r="D24" s="298"/>
      <c r="E24" s="300"/>
      <c r="F24" s="301"/>
    </row>
    <row r="25" spans="2:6" x14ac:dyDescent="0.25">
      <c r="B25" s="298"/>
      <c r="C25" s="298"/>
      <c r="D25" s="298"/>
      <c r="E25" s="300"/>
      <c r="F25" s="301"/>
    </row>
    <row r="26" spans="2:6" x14ac:dyDescent="0.25">
      <c r="B26" s="298"/>
      <c r="C26" s="298"/>
      <c r="D26" s="298"/>
      <c r="E26" s="300"/>
      <c r="F26" s="301"/>
    </row>
    <row r="27" spans="2:6" x14ac:dyDescent="0.25">
      <c r="B27" s="298"/>
      <c r="C27" s="298"/>
      <c r="D27" s="298"/>
      <c r="E27" s="300"/>
      <c r="F27" s="301"/>
    </row>
    <row r="28" spans="2:6" x14ac:dyDescent="0.25">
      <c r="B28" s="298"/>
      <c r="C28" s="298"/>
      <c r="D28" s="298"/>
      <c r="E28" s="300"/>
      <c r="F28" s="301"/>
    </row>
    <row r="29" spans="2:6" x14ac:dyDescent="0.25">
      <c r="B29" s="298"/>
      <c r="C29" s="298"/>
      <c r="D29" s="298"/>
      <c r="E29" s="300"/>
      <c r="F29" s="301"/>
    </row>
    <row r="30" spans="2:6" x14ac:dyDescent="0.25">
      <c r="B30" s="298"/>
      <c r="C30" s="298"/>
      <c r="D30" s="298"/>
      <c r="E30" s="300"/>
      <c r="F30" s="301"/>
    </row>
    <row r="32" spans="2:6" x14ac:dyDescent="0.25">
      <c r="B32" s="295" t="s">
        <v>15</v>
      </c>
    </row>
    <row r="33" spans="2:6" x14ac:dyDescent="0.25">
      <c r="B33" s="297" t="s">
        <v>16</v>
      </c>
      <c r="C33" s="297" t="s">
        <v>17</v>
      </c>
      <c r="D33" s="539" t="s">
        <v>18</v>
      </c>
      <c r="E33" s="539"/>
      <c r="F33" s="539"/>
    </row>
    <row r="34" spans="2:6" x14ac:dyDescent="0.25">
      <c r="B34" s="298"/>
      <c r="C34" s="298"/>
      <c r="D34" s="540"/>
      <c r="E34" s="540"/>
      <c r="F34" s="540"/>
    </row>
    <row r="35" spans="2:6" x14ac:dyDescent="0.25">
      <c r="B35" s="298"/>
      <c r="C35" s="298"/>
      <c r="D35" s="540"/>
      <c r="E35" s="540"/>
      <c r="F35" s="540"/>
    </row>
    <row r="36" spans="2:6" x14ac:dyDescent="0.25">
      <c r="B36" s="298"/>
      <c r="C36" s="298"/>
      <c r="D36" s="536"/>
      <c r="E36" s="537"/>
      <c r="F36" s="538"/>
    </row>
    <row r="37" spans="2:6" x14ac:dyDescent="0.25">
      <c r="B37" s="298"/>
      <c r="C37" s="298"/>
      <c r="D37" s="536"/>
      <c r="E37" s="537"/>
      <c r="F37" s="538"/>
    </row>
    <row r="38" spans="2:6" x14ac:dyDescent="0.25">
      <c r="B38" s="298"/>
      <c r="C38" s="298"/>
      <c r="D38" s="536"/>
      <c r="E38" s="537"/>
      <c r="F38" s="538"/>
    </row>
    <row r="39" spans="2:6" x14ac:dyDescent="0.25">
      <c r="B39" s="298"/>
      <c r="C39" s="298"/>
      <c r="D39" s="536"/>
      <c r="E39" s="537"/>
      <c r="F39" s="538"/>
    </row>
    <row r="40" spans="2:6" x14ac:dyDescent="0.25">
      <c r="B40" s="298"/>
      <c r="C40" s="298"/>
      <c r="D40" s="536"/>
      <c r="E40" s="537"/>
      <c r="F40" s="538"/>
    </row>
    <row r="41" spans="2:6" x14ac:dyDescent="0.25">
      <c r="B41" s="298"/>
      <c r="C41" s="298"/>
      <c r="D41" s="536"/>
      <c r="E41" s="537"/>
      <c r="F41" s="538"/>
    </row>
    <row r="42" spans="2:6" x14ac:dyDescent="0.25">
      <c r="B42" s="298"/>
      <c r="C42" s="298"/>
      <c r="D42" s="536"/>
      <c r="E42" s="537"/>
      <c r="F42" s="538"/>
    </row>
    <row r="43" spans="2:6" x14ac:dyDescent="0.25">
      <c r="B43" s="298"/>
      <c r="C43" s="298"/>
      <c r="D43" s="536"/>
      <c r="E43" s="537"/>
      <c r="F43" s="538"/>
    </row>
    <row r="44" spans="2:6" x14ac:dyDescent="0.25">
      <c r="B44" s="298"/>
      <c r="C44" s="298"/>
      <c r="D44" s="536"/>
      <c r="E44" s="537"/>
      <c r="F44" s="538"/>
    </row>
    <row r="45" spans="2:6" x14ac:dyDescent="0.25">
      <c r="B45" s="298"/>
      <c r="C45" s="298"/>
      <c r="D45" s="536"/>
      <c r="E45" s="537"/>
      <c r="F45" s="538"/>
    </row>
    <row r="46" spans="2:6" x14ac:dyDescent="0.25">
      <c r="B46" s="298"/>
      <c r="C46" s="298"/>
      <c r="D46" s="540"/>
      <c r="E46" s="540"/>
      <c r="F46" s="540"/>
    </row>
    <row r="47" spans="2:6" x14ac:dyDescent="0.25">
      <c r="B47" s="298"/>
      <c r="C47" s="298"/>
      <c r="D47" s="540"/>
      <c r="E47" s="540"/>
      <c r="F47" s="540"/>
    </row>
    <row r="48" spans="2:6" x14ac:dyDescent="0.25">
      <c r="B48" s="298"/>
      <c r="C48" s="298"/>
      <c r="D48" s="540"/>
      <c r="E48" s="540"/>
      <c r="F48" s="540"/>
    </row>
  </sheetData>
  <sheetProtection sheet="1"/>
  <mergeCells count="26">
    <mergeCell ref="D47:F47"/>
    <mergeCell ref="D48:F48"/>
    <mergeCell ref="D41:F41"/>
    <mergeCell ref="D42:F42"/>
    <mergeCell ref="D43:F43"/>
    <mergeCell ref="D44:F44"/>
    <mergeCell ref="D45:F45"/>
    <mergeCell ref="D46:F46"/>
    <mergeCell ref="D40:F40"/>
    <mergeCell ref="B8:C8"/>
    <mergeCell ref="D8:E8"/>
    <mergeCell ref="B11:C11"/>
    <mergeCell ref="B12:C12"/>
    <mergeCell ref="D33:F33"/>
    <mergeCell ref="D34:F34"/>
    <mergeCell ref="D35:F35"/>
    <mergeCell ref="D36:F36"/>
    <mergeCell ref="D37:F37"/>
    <mergeCell ref="D38:F38"/>
    <mergeCell ref="D39:F39"/>
    <mergeCell ref="B3:E4"/>
    <mergeCell ref="F3:F4"/>
    <mergeCell ref="B6:C6"/>
    <mergeCell ref="D6:E6"/>
    <mergeCell ref="B7:C7"/>
    <mergeCell ref="D7:E7"/>
  </mergeCells>
  <pageMargins left="0.7" right="0.7" top="0.75" bottom="0.75" header="0.3" footer="0.3"/>
  <pageSetup paperSize="9" scale="68" orientation="portrait" r:id="rId1"/>
  <headerFooter>
    <oddFooter>&amp;C&amp;Z&amp;F_x000D_&amp;1#&amp;"Verdana"&amp;7&amp;K000000 Confidential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fitToPage="1"/>
  </sheetPr>
  <dimension ref="A1:GJ999"/>
  <sheetViews>
    <sheetView showGridLines="0" tabSelected="1" topLeftCell="A40" zoomScale="90" zoomScaleNormal="90" workbookViewId="0">
      <selection activeCell="P53" sqref="P53"/>
    </sheetView>
  </sheetViews>
  <sheetFormatPr defaultColWidth="9.140625" defaultRowHeight="15" x14ac:dyDescent="0.2"/>
  <cols>
    <col min="1" max="1" width="36.7109375" customWidth="1"/>
    <col min="2" max="2" width="9.140625" customWidth="1"/>
    <col min="3" max="3" width="9.140625" style="148" customWidth="1"/>
    <col min="4" max="7" width="9.140625" customWidth="1"/>
    <col min="8" max="8" width="9.140625" style="149" customWidth="1"/>
    <col min="9" max="14" width="9.140625" customWidth="1"/>
    <col min="15" max="15" width="8" customWidth="1"/>
    <col min="16" max="16" width="9.140625" customWidth="1"/>
    <col min="17" max="17" width="19.7109375" customWidth="1"/>
    <col min="20" max="20" width="21.140625" customWidth="1"/>
    <col min="21" max="21" width="31.140625" customWidth="1"/>
    <col min="24" max="25" width="9.140625" customWidth="1"/>
  </cols>
  <sheetData>
    <row r="1" spans="1:23" ht="18" customHeight="1" x14ac:dyDescent="0.2">
      <c r="A1" s="607"/>
      <c r="B1" s="608"/>
      <c r="C1" s="608"/>
      <c r="D1" s="608"/>
      <c r="E1" s="608"/>
      <c r="F1" s="608"/>
      <c r="G1" s="608"/>
      <c r="H1" s="608"/>
      <c r="I1" s="608"/>
      <c r="J1" s="608"/>
      <c r="K1" s="608"/>
      <c r="L1" s="608"/>
      <c r="M1" s="609"/>
      <c r="N1" s="651"/>
      <c r="O1" s="652"/>
      <c r="P1" s="652"/>
      <c r="Q1" s="652"/>
      <c r="R1" s="652"/>
      <c r="S1" s="652"/>
      <c r="T1" s="652"/>
      <c r="U1" s="652"/>
    </row>
    <row r="2" spans="1:23" ht="18" customHeight="1" thickBot="1" x14ac:dyDescent="0.3">
      <c r="A2" s="610"/>
      <c r="B2" s="611"/>
      <c r="C2" s="611"/>
      <c r="D2" s="611"/>
      <c r="E2" s="611"/>
      <c r="F2" s="611"/>
      <c r="G2" s="611"/>
      <c r="H2" s="611"/>
      <c r="I2" s="611"/>
      <c r="J2" s="611"/>
      <c r="K2" s="611"/>
      <c r="L2" s="611"/>
      <c r="M2" s="612"/>
      <c r="N2" s="651"/>
      <c r="O2" s="652"/>
      <c r="P2" s="652"/>
      <c r="Q2" s="652"/>
      <c r="R2" s="652"/>
      <c r="S2" s="652"/>
      <c r="T2" s="652"/>
      <c r="U2" s="652"/>
      <c r="W2" s="145"/>
    </row>
    <row r="3" spans="1:23" ht="18" customHeight="1" x14ac:dyDescent="0.25">
      <c r="A3" s="617" t="s">
        <v>19</v>
      </c>
      <c r="B3" s="618"/>
      <c r="C3" s="619"/>
      <c r="D3" s="630" t="s">
        <v>20</v>
      </c>
      <c r="E3" s="631"/>
      <c r="F3" s="631"/>
      <c r="G3" s="631"/>
      <c r="H3" s="631"/>
      <c r="I3" s="632"/>
      <c r="J3" s="666" t="s">
        <v>21</v>
      </c>
      <c r="K3" s="667"/>
      <c r="L3" s="667"/>
      <c r="M3" s="668"/>
      <c r="N3" s="651"/>
      <c r="O3" s="652"/>
      <c r="P3" s="652"/>
      <c r="Q3" s="652"/>
      <c r="R3" s="652"/>
      <c r="S3" s="652"/>
      <c r="T3" s="652"/>
      <c r="U3" s="652"/>
      <c r="W3" s="145"/>
    </row>
    <row r="4" spans="1:23" ht="18" customHeight="1" x14ac:dyDescent="0.25">
      <c r="A4" s="186" t="s">
        <v>22</v>
      </c>
      <c r="B4" s="334"/>
      <c r="C4" s="187" t="s">
        <v>23</v>
      </c>
      <c r="D4" s="675" t="s">
        <v>24</v>
      </c>
      <c r="E4" s="676"/>
      <c r="F4" s="676"/>
      <c r="G4" s="676"/>
      <c r="H4" s="676"/>
      <c r="I4" s="677"/>
      <c r="J4" s="653" t="s">
        <v>259</v>
      </c>
      <c r="K4" s="654"/>
      <c r="L4" s="654"/>
      <c r="M4" s="655"/>
      <c r="N4" s="651"/>
      <c r="O4" s="652"/>
      <c r="P4" s="652"/>
      <c r="Q4" s="652"/>
      <c r="R4" s="652"/>
      <c r="S4" s="652"/>
      <c r="T4" s="652"/>
      <c r="U4" s="652"/>
      <c r="W4" s="145"/>
    </row>
    <row r="5" spans="1:23" ht="18" customHeight="1" x14ac:dyDescent="0.3">
      <c r="A5" s="185" t="s">
        <v>25</v>
      </c>
      <c r="B5" s="335"/>
      <c r="C5" s="187" t="s">
        <v>23</v>
      </c>
      <c r="D5" s="661" t="s">
        <v>26</v>
      </c>
      <c r="E5" s="662"/>
      <c r="F5" s="662"/>
      <c r="G5" s="662"/>
      <c r="H5" s="339"/>
      <c r="I5" s="202" t="s">
        <v>27</v>
      </c>
      <c r="J5" s="653"/>
      <c r="K5" s="654"/>
      <c r="L5" s="654"/>
      <c r="M5" s="655"/>
      <c r="N5" s="651"/>
      <c r="O5" s="652"/>
      <c r="P5" s="652"/>
      <c r="Q5" s="652"/>
      <c r="R5" s="652"/>
      <c r="S5" s="652"/>
      <c r="T5" s="652"/>
      <c r="U5" s="652"/>
      <c r="W5" s="145"/>
    </row>
    <row r="6" spans="1:23" ht="18" customHeight="1" x14ac:dyDescent="0.3">
      <c r="A6" s="185" t="s">
        <v>256</v>
      </c>
      <c r="B6" s="519"/>
      <c r="C6" s="520"/>
      <c r="D6" s="633" t="s">
        <v>28</v>
      </c>
      <c r="E6" s="634"/>
      <c r="F6" s="634"/>
      <c r="G6" s="635"/>
      <c r="H6" s="334"/>
      <c r="I6" s="195" t="s">
        <v>23</v>
      </c>
      <c r="J6" s="653"/>
      <c r="K6" s="654"/>
      <c r="L6" s="654"/>
      <c r="M6" s="655"/>
      <c r="N6" s="651"/>
      <c r="O6" s="652"/>
      <c r="P6" s="652"/>
      <c r="Q6" s="652"/>
      <c r="R6" s="652"/>
      <c r="S6" s="652"/>
      <c r="T6" s="652"/>
      <c r="U6" s="652"/>
      <c r="W6" s="145"/>
    </row>
    <row r="7" spans="1:23" ht="18" customHeight="1" x14ac:dyDescent="0.3">
      <c r="A7" s="185" t="s">
        <v>29</v>
      </c>
      <c r="B7" s="615"/>
      <c r="C7" s="616"/>
      <c r="D7" s="633" t="s">
        <v>30</v>
      </c>
      <c r="E7" s="634"/>
      <c r="F7" s="634"/>
      <c r="G7" s="635"/>
      <c r="H7" s="339"/>
      <c r="I7" s="195" t="s">
        <v>31</v>
      </c>
      <c r="J7" s="653"/>
      <c r="K7" s="654"/>
      <c r="L7" s="654"/>
      <c r="M7" s="655"/>
      <c r="N7" s="651"/>
      <c r="O7" s="652"/>
      <c r="P7" s="652"/>
      <c r="Q7" s="652"/>
      <c r="R7" s="652"/>
      <c r="S7" s="652"/>
      <c r="T7" s="652"/>
      <c r="U7" s="652"/>
      <c r="W7" s="145"/>
    </row>
    <row r="8" spans="1:23" ht="18" customHeight="1" x14ac:dyDescent="0.3">
      <c r="A8" s="185" t="s">
        <v>32</v>
      </c>
      <c r="B8" s="334"/>
      <c r="C8" s="187" t="s">
        <v>33</v>
      </c>
      <c r="D8" s="663" t="s">
        <v>34</v>
      </c>
      <c r="E8" s="664"/>
      <c r="F8" s="664"/>
      <c r="G8" s="664"/>
      <c r="H8" s="664"/>
      <c r="I8" s="665"/>
      <c r="J8" s="653"/>
      <c r="K8" s="654"/>
      <c r="L8" s="654"/>
      <c r="M8" s="655"/>
      <c r="N8" s="651"/>
      <c r="O8" s="652"/>
      <c r="P8" s="652"/>
      <c r="Q8" s="652"/>
      <c r="R8" s="652"/>
      <c r="S8" s="652"/>
      <c r="T8" s="652"/>
      <c r="U8" s="652"/>
      <c r="W8" s="145"/>
    </row>
    <row r="9" spans="1:23" ht="18" customHeight="1" x14ac:dyDescent="0.3">
      <c r="A9" s="185" t="s">
        <v>35</v>
      </c>
      <c r="B9" s="336"/>
      <c r="C9" s="187" t="s">
        <v>33</v>
      </c>
      <c r="D9" s="633" t="s">
        <v>36</v>
      </c>
      <c r="E9" s="634"/>
      <c r="F9" s="634"/>
      <c r="G9" s="635"/>
      <c r="H9" s="339"/>
      <c r="I9" s="202" t="s">
        <v>27</v>
      </c>
      <c r="J9" s="653"/>
      <c r="K9" s="654"/>
      <c r="L9" s="654"/>
      <c r="M9" s="655"/>
      <c r="N9" s="651"/>
      <c r="O9" s="652"/>
      <c r="P9" s="652"/>
      <c r="Q9" s="652"/>
      <c r="R9" s="652"/>
      <c r="S9" s="652"/>
      <c r="T9" s="652"/>
      <c r="U9" s="652"/>
      <c r="W9" s="145"/>
    </row>
    <row r="10" spans="1:23" ht="18" customHeight="1" x14ac:dyDescent="0.3">
      <c r="A10" s="185" t="s">
        <v>37</v>
      </c>
      <c r="B10" s="337"/>
      <c r="C10" s="187" t="s">
        <v>38</v>
      </c>
      <c r="D10" s="633" t="s">
        <v>39</v>
      </c>
      <c r="E10" s="634"/>
      <c r="F10" s="634"/>
      <c r="G10" s="635"/>
      <c r="H10" s="339"/>
      <c r="I10" s="195" t="s">
        <v>23</v>
      </c>
      <c r="J10" s="653"/>
      <c r="K10" s="654"/>
      <c r="L10" s="654"/>
      <c r="M10" s="655"/>
      <c r="N10" s="651"/>
      <c r="O10" s="652"/>
      <c r="P10" s="652"/>
      <c r="Q10" s="652"/>
      <c r="R10" s="652"/>
      <c r="S10" s="652"/>
      <c r="T10" s="652"/>
      <c r="U10" s="652"/>
      <c r="W10" s="145"/>
    </row>
    <row r="11" spans="1:23" ht="18" customHeight="1" x14ac:dyDescent="0.3">
      <c r="A11" s="185" t="s">
        <v>40</v>
      </c>
      <c r="B11" s="337"/>
      <c r="C11" s="187" t="s">
        <v>38</v>
      </c>
      <c r="D11" s="633" t="s">
        <v>41</v>
      </c>
      <c r="E11" s="634"/>
      <c r="F11" s="634"/>
      <c r="G11" s="635"/>
      <c r="H11" s="339"/>
      <c r="I11" s="195" t="s">
        <v>31</v>
      </c>
      <c r="J11" s="653"/>
      <c r="K11" s="654"/>
      <c r="L11" s="654"/>
      <c r="M11" s="655"/>
      <c r="N11" s="651"/>
      <c r="O11" s="652"/>
      <c r="P11" s="652"/>
      <c r="Q11" s="652"/>
      <c r="R11" s="652"/>
      <c r="S11" s="652"/>
      <c r="T11" s="652"/>
      <c r="U11" s="652"/>
    </row>
    <row r="12" spans="1:23" ht="18" customHeight="1" thickBot="1" x14ac:dyDescent="0.35">
      <c r="A12" s="188" t="s">
        <v>42</v>
      </c>
      <c r="B12" s="338">
        <v>23</v>
      </c>
      <c r="C12" s="189" t="s">
        <v>31</v>
      </c>
      <c r="D12" s="641" t="s">
        <v>43</v>
      </c>
      <c r="E12" s="642"/>
      <c r="F12" s="642"/>
      <c r="G12" s="642"/>
      <c r="H12" s="340"/>
      <c r="I12" s="203" t="s">
        <v>31</v>
      </c>
      <c r="J12" s="656"/>
      <c r="K12" s="657"/>
      <c r="L12" s="657"/>
      <c r="M12" s="658"/>
      <c r="N12" s="651"/>
      <c r="O12" s="652"/>
      <c r="P12" s="652"/>
      <c r="Q12" s="652"/>
      <c r="R12" s="652"/>
      <c r="S12" s="652"/>
      <c r="T12" s="652"/>
      <c r="U12" s="652"/>
    </row>
    <row r="13" spans="1:23" ht="18" customHeight="1" thickBot="1" x14ac:dyDescent="0.25">
      <c r="A13" s="643" t="s">
        <v>44</v>
      </c>
      <c r="B13" s="644"/>
      <c r="C13" s="645"/>
      <c r="D13" s="305"/>
      <c r="E13" s="278"/>
      <c r="F13" s="278"/>
      <c r="G13" s="278"/>
      <c r="H13" s="279"/>
      <c r="I13" s="278"/>
      <c r="J13" s="306"/>
      <c r="K13" s="306"/>
      <c r="L13" s="306"/>
      <c r="M13" s="307"/>
      <c r="N13" s="651"/>
      <c r="O13" s="652"/>
      <c r="P13" s="652"/>
      <c r="Q13" s="652"/>
      <c r="R13" s="652"/>
      <c r="S13" s="652"/>
      <c r="T13" s="652"/>
      <c r="U13" s="652"/>
    </row>
    <row r="14" spans="1:23" ht="18" customHeight="1" thickBot="1" x14ac:dyDescent="0.25">
      <c r="A14" s="185" t="s">
        <v>45</v>
      </c>
      <c r="B14" s="334"/>
      <c r="C14" s="187" t="s">
        <v>38</v>
      </c>
      <c r="D14" s="308"/>
      <c r="E14" s="280"/>
      <c r="F14" s="280"/>
      <c r="G14" s="280"/>
      <c r="H14" s="281"/>
      <c r="I14" s="280"/>
      <c r="J14" s="280"/>
      <c r="K14" s="280"/>
      <c r="L14" s="280"/>
      <c r="M14" s="282"/>
      <c r="N14" s="651"/>
      <c r="O14" s="652"/>
      <c r="P14" s="652"/>
      <c r="Q14" s="652"/>
      <c r="R14" s="652"/>
      <c r="S14" s="652"/>
      <c r="T14" s="652"/>
      <c r="U14" s="652"/>
    </row>
    <row r="15" spans="1:23" ht="18" customHeight="1" thickBot="1" x14ac:dyDescent="0.25">
      <c r="A15" s="185" t="s">
        <v>46</v>
      </c>
      <c r="B15" s="334"/>
      <c r="C15" s="187" t="s">
        <v>38</v>
      </c>
      <c r="D15" s="308"/>
      <c r="E15" s="280"/>
      <c r="F15" s="280"/>
      <c r="G15" s="280"/>
      <c r="H15" s="281"/>
      <c r="I15" s="280"/>
      <c r="J15" s="280"/>
      <c r="K15" s="309"/>
      <c r="L15" s="280"/>
      <c r="M15" s="282"/>
      <c r="N15" s="651"/>
      <c r="O15" s="652"/>
      <c r="P15" s="652"/>
      <c r="Q15" s="652"/>
      <c r="R15" s="652"/>
      <c r="S15" s="652"/>
      <c r="T15" s="652"/>
      <c r="U15" s="652"/>
    </row>
    <row r="16" spans="1:23" ht="18" customHeight="1" thickBot="1" x14ac:dyDescent="0.35">
      <c r="A16" s="185" t="s">
        <v>47</v>
      </c>
      <c r="B16" s="339"/>
      <c r="C16" s="187" t="s">
        <v>38</v>
      </c>
      <c r="D16" s="308"/>
      <c r="E16" s="280"/>
      <c r="F16" s="280"/>
      <c r="G16" s="280"/>
      <c r="H16" s="281"/>
      <c r="I16" s="280"/>
      <c r="J16" s="280"/>
      <c r="K16" s="280"/>
      <c r="L16" s="280"/>
      <c r="M16" s="282"/>
      <c r="N16" s="651"/>
      <c r="O16" s="652"/>
      <c r="P16" s="652"/>
      <c r="Q16" s="652"/>
      <c r="R16" s="652"/>
      <c r="S16" s="652"/>
      <c r="T16" s="652"/>
      <c r="U16" s="652"/>
    </row>
    <row r="17" spans="1:21" ht="18" customHeight="1" thickBot="1" x14ac:dyDescent="0.25">
      <c r="A17" s="418" t="s">
        <v>48</v>
      </c>
      <c r="B17" s="649" t="s">
        <v>49</v>
      </c>
      <c r="C17" s="650"/>
      <c r="D17" s="308"/>
      <c r="E17" s="280"/>
      <c r="F17" s="280"/>
      <c r="G17" s="280"/>
      <c r="H17" s="281"/>
      <c r="I17" s="280"/>
      <c r="J17" s="280"/>
      <c r="K17" s="280"/>
      <c r="L17" s="280"/>
      <c r="M17" s="282"/>
      <c r="N17" s="651"/>
      <c r="O17" s="652"/>
      <c r="P17" s="652"/>
      <c r="Q17" s="652"/>
      <c r="R17" s="652"/>
      <c r="S17" s="652"/>
      <c r="T17" s="652"/>
      <c r="U17" s="652"/>
    </row>
    <row r="18" spans="1:21" ht="18" customHeight="1" thickBot="1" x14ac:dyDescent="0.35">
      <c r="A18" s="185" t="s">
        <v>50</v>
      </c>
      <c r="B18" s="339"/>
      <c r="C18" s="195" t="s">
        <v>38</v>
      </c>
      <c r="D18" s="308"/>
      <c r="E18" s="280"/>
      <c r="F18" s="280"/>
      <c r="G18" s="280"/>
      <c r="H18" s="281"/>
      <c r="I18" s="280"/>
      <c r="J18" s="280"/>
      <c r="K18" s="280"/>
      <c r="L18" s="280"/>
      <c r="M18" s="282"/>
      <c r="N18" s="343"/>
      <c r="O18" s="149"/>
      <c r="P18" s="149"/>
      <c r="Q18" s="149"/>
      <c r="R18" s="149"/>
      <c r="S18" s="149"/>
      <c r="T18" s="149"/>
      <c r="U18" s="149"/>
    </row>
    <row r="19" spans="1:21" ht="18" customHeight="1" thickBot="1" x14ac:dyDescent="0.35">
      <c r="A19" s="185" t="s">
        <v>51</v>
      </c>
      <c r="B19" s="339"/>
      <c r="C19" s="195" t="s">
        <v>38</v>
      </c>
      <c r="D19" s="308"/>
      <c r="E19" s="280"/>
      <c r="F19" s="280"/>
      <c r="G19" s="280"/>
      <c r="H19" s="281"/>
      <c r="I19" s="280"/>
      <c r="J19" s="280"/>
      <c r="K19" s="280"/>
      <c r="L19" s="280"/>
      <c r="M19" s="282"/>
      <c r="N19" s="236"/>
      <c r="O19" s="242"/>
      <c r="P19" s="242"/>
      <c r="Q19" s="229"/>
      <c r="R19" s="235"/>
      <c r="S19" s="242"/>
      <c r="T19" s="229"/>
      <c r="U19" s="235"/>
    </row>
    <row r="20" spans="1:21" ht="18" customHeight="1" thickBot="1" x14ac:dyDescent="0.25">
      <c r="A20" s="185" t="s">
        <v>52</v>
      </c>
      <c r="B20" s="613"/>
      <c r="C20" s="614"/>
      <c r="D20" s="308"/>
      <c r="E20" s="280"/>
      <c r="F20" s="280"/>
      <c r="G20" s="280"/>
      <c r="H20" s="281"/>
      <c r="I20" s="280"/>
      <c r="J20" s="280"/>
      <c r="K20" s="280"/>
      <c r="L20" s="280"/>
      <c r="M20" s="282"/>
      <c r="N20" s="236"/>
      <c r="O20" s="242"/>
      <c r="P20" s="242"/>
      <c r="Q20" s="229"/>
      <c r="R20" s="235"/>
      <c r="S20" s="237"/>
      <c r="T20" s="237"/>
      <c r="U20" s="237"/>
    </row>
    <row r="21" spans="1:21" ht="18" customHeight="1" thickBot="1" x14ac:dyDescent="0.25">
      <c r="A21" s="185" t="s">
        <v>53</v>
      </c>
      <c r="B21" s="624">
        <v>0</v>
      </c>
      <c r="C21" s="625"/>
      <c r="D21" s="308"/>
      <c r="E21" s="280"/>
      <c r="F21" s="280"/>
      <c r="G21" s="280"/>
      <c r="H21" s="281"/>
      <c r="I21" s="280"/>
      <c r="J21" s="280"/>
      <c r="K21" s="280"/>
      <c r="L21" s="280"/>
      <c r="M21" s="282"/>
      <c r="N21" s="230"/>
      <c r="O21" s="244"/>
      <c r="P21" s="242"/>
      <c r="Q21" s="229"/>
      <c r="R21" s="237"/>
      <c r="S21" s="237"/>
      <c r="T21" s="237"/>
      <c r="U21" s="237"/>
    </row>
    <row r="22" spans="1:21" ht="18" customHeight="1" thickBot="1" x14ac:dyDescent="0.35">
      <c r="A22" s="188" t="s">
        <v>54</v>
      </c>
      <c r="B22" s="626">
        <f>0.3</f>
        <v>0.3</v>
      </c>
      <c r="C22" s="627"/>
      <c r="D22" s="308"/>
      <c r="E22" s="280"/>
      <c r="F22" s="280"/>
      <c r="G22" s="280"/>
      <c r="H22" s="281"/>
      <c r="I22" s="280"/>
      <c r="J22" s="280"/>
      <c r="K22" s="280"/>
      <c r="L22" s="280"/>
      <c r="M22" s="282"/>
      <c r="N22" s="236"/>
      <c r="O22" s="242"/>
      <c r="P22" s="242"/>
      <c r="Q22" s="229"/>
      <c r="R22" s="235"/>
      <c r="S22" s="242"/>
      <c r="T22" s="229"/>
      <c r="U22" s="235"/>
    </row>
    <row r="23" spans="1:21" ht="18" customHeight="1" thickBot="1" x14ac:dyDescent="0.25">
      <c r="A23" s="643" t="s">
        <v>55</v>
      </c>
      <c r="B23" s="644"/>
      <c r="C23" s="645"/>
      <c r="D23" s="308"/>
      <c r="E23" s="280"/>
      <c r="F23" s="280"/>
      <c r="G23" s="280"/>
      <c r="H23" s="281"/>
      <c r="I23" s="280"/>
      <c r="J23" s="280"/>
      <c r="K23" s="280"/>
      <c r="L23" s="280"/>
      <c r="M23" s="282"/>
      <c r="N23" s="236"/>
      <c r="O23" s="242"/>
      <c r="P23" s="242"/>
      <c r="Q23" s="229"/>
      <c r="R23" s="235"/>
      <c r="S23" s="242"/>
      <c r="T23" s="229"/>
      <c r="U23" s="235"/>
    </row>
    <row r="24" spans="1:21" s="146" customFormat="1" ht="18" customHeight="1" thickBot="1" x14ac:dyDescent="0.45">
      <c r="A24" s="190" t="s">
        <v>56</v>
      </c>
      <c r="B24" s="624"/>
      <c r="C24" s="625"/>
      <c r="D24" s="310"/>
      <c r="E24" s="311"/>
      <c r="F24" s="311"/>
      <c r="G24" s="311"/>
      <c r="H24" s="311"/>
      <c r="I24" s="311"/>
      <c r="J24" s="311"/>
      <c r="K24" s="311"/>
      <c r="L24" s="311"/>
      <c r="M24" s="312"/>
      <c r="N24" s="210"/>
      <c r="O24" s="231"/>
      <c r="P24" s="211"/>
      <c r="Q24" s="212"/>
      <c r="R24" s="213"/>
      <c r="S24" s="213"/>
      <c r="T24" s="214"/>
      <c r="U24" s="215"/>
    </row>
    <row r="25" spans="1:21" s="146" customFormat="1" ht="18" customHeight="1" thickBot="1" x14ac:dyDescent="0.25">
      <c r="A25" s="190" t="s">
        <v>247</v>
      </c>
      <c r="B25" s="624" t="s">
        <v>49</v>
      </c>
      <c r="C25" s="625"/>
      <c r="D25" s="310"/>
      <c r="E25" s="311"/>
      <c r="F25" s="311"/>
      <c r="G25" s="311"/>
      <c r="H25" s="311"/>
      <c r="I25" s="311"/>
      <c r="J25" s="311"/>
      <c r="K25" s="311"/>
      <c r="L25" s="311"/>
      <c r="M25" s="312"/>
      <c r="N25" s="216"/>
      <c r="O25" s="231"/>
      <c r="P25" s="217"/>
      <c r="Q25" s="218"/>
      <c r="R25" s="213"/>
      <c r="S25" s="213"/>
      <c r="T25" s="219"/>
      <c r="U25" s="220"/>
    </row>
    <row r="26" spans="1:21" ht="18" customHeight="1" thickBot="1" x14ac:dyDescent="0.35">
      <c r="A26" s="185" t="s">
        <v>57</v>
      </c>
      <c r="B26" s="622" t="str">
        <f>IF(B24&lt;&gt;0,+R74/B24," ")</f>
        <v xml:space="preserve"> </v>
      </c>
      <c r="C26" s="623"/>
      <c r="D26" s="308"/>
      <c r="E26" s="280"/>
      <c r="F26" s="280"/>
      <c r="G26" s="280"/>
      <c r="H26" s="281"/>
      <c r="I26" s="280"/>
      <c r="J26" s="280"/>
      <c r="K26" s="280"/>
      <c r="L26" s="280"/>
      <c r="M26" s="282"/>
      <c r="N26" s="210"/>
      <c r="O26" s="231"/>
      <c r="P26" s="217"/>
      <c r="Q26" s="213"/>
      <c r="R26" s="213"/>
      <c r="S26" s="213"/>
      <c r="T26" s="219"/>
      <c r="U26" s="220"/>
    </row>
    <row r="27" spans="1:21" ht="18" customHeight="1" thickBot="1" x14ac:dyDescent="0.35">
      <c r="A27" s="185" t="s">
        <v>58</v>
      </c>
      <c r="B27" s="622" t="str">
        <f>IF(B24&lt;&gt;0,+R72/B24," ")</f>
        <v xml:space="preserve"> </v>
      </c>
      <c r="C27" s="623"/>
      <c r="D27" s="308"/>
      <c r="E27" s="280"/>
      <c r="F27" s="280"/>
      <c r="G27" s="280"/>
      <c r="H27" s="281"/>
      <c r="I27" s="280"/>
      <c r="J27" s="280"/>
      <c r="K27" s="280"/>
      <c r="L27" s="280"/>
      <c r="M27" s="282"/>
      <c r="N27" s="210"/>
      <c r="O27" s="231"/>
      <c r="P27" s="217"/>
      <c r="Q27" s="213"/>
      <c r="R27" s="213"/>
      <c r="S27" s="213"/>
      <c r="T27" s="219"/>
      <c r="U27" s="220"/>
    </row>
    <row r="28" spans="1:21" ht="18" customHeight="1" thickBot="1" x14ac:dyDescent="0.25">
      <c r="A28" s="186" t="s">
        <v>59</v>
      </c>
      <c r="B28" s="628" t="str">
        <f>IF(B24&lt;&gt;0,R87," ")</f>
        <v xml:space="preserve"> </v>
      </c>
      <c r="C28" s="629"/>
      <c r="D28" s="308"/>
      <c r="E28" s="280"/>
      <c r="F28" s="280"/>
      <c r="G28" s="280"/>
      <c r="H28" s="281"/>
      <c r="I28" s="280"/>
      <c r="J28" s="280"/>
      <c r="K28" s="280"/>
      <c r="L28" s="280"/>
      <c r="M28" s="282"/>
      <c r="N28" s="221"/>
      <c r="O28" s="232"/>
      <c r="P28" s="217"/>
      <c r="Q28" s="213"/>
      <c r="R28" s="213"/>
      <c r="S28" s="213"/>
      <c r="T28" s="219"/>
      <c r="U28" s="222"/>
    </row>
    <row r="29" spans="1:21" ht="18" customHeight="1" thickBot="1" x14ac:dyDescent="0.25">
      <c r="A29" s="185" t="s">
        <v>60</v>
      </c>
      <c r="B29" s="628" t="str">
        <f>IF(B24&lt;&gt;0,+(1+B22)*(1-B28)," ")</f>
        <v xml:space="preserve"> </v>
      </c>
      <c r="C29" s="629"/>
      <c r="D29" s="308"/>
      <c r="E29" s="280"/>
      <c r="F29" s="280"/>
      <c r="G29" s="280"/>
      <c r="H29" s="281"/>
      <c r="I29" s="280"/>
      <c r="J29" s="280"/>
      <c r="K29" s="280"/>
      <c r="L29" s="280"/>
      <c r="M29" s="282"/>
      <c r="N29" s="221"/>
      <c r="O29" s="232"/>
      <c r="P29" s="217"/>
      <c r="Q29" s="213"/>
      <c r="R29" s="213"/>
      <c r="S29" s="213"/>
      <c r="T29" s="219"/>
      <c r="U29" s="222"/>
    </row>
    <row r="30" spans="1:21" ht="18" customHeight="1" thickBot="1" x14ac:dyDescent="0.35">
      <c r="A30" s="185" t="s">
        <v>61</v>
      </c>
      <c r="B30" s="659" t="str">
        <f>IF(materialfaktor&lt;&gt;0,+murhøyde_inkl._fotdybde/((murhøyde_inkl._fotdybde/murens_helning)+murens_bredde_øverst-murens_bredde_ved_bunn)," ")</f>
        <v xml:space="preserve"> </v>
      </c>
      <c r="C30" s="660"/>
      <c r="D30" s="308"/>
      <c r="E30" s="280"/>
      <c r="F30" s="280"/>
      <c r="G30" s="280"/>
      <c r="H30" s="281"/>
      <c r="I30" s="280"/>
      <c r="J30" s="280"/>
      <c r="K30" s="280"/>
      <c r="L30" s="280"/>
      <c r="M30" s="282"/>
      <c r="N30" s="223"/>
      <c r="O30" s="232"/>
      <c r="P30" s="217"/>
      <c r="Q30" s="213"/>
      <c r="R30" s="213"/>
      <c r="S30" s="213"/>
      <c r="T30" s="219"/>
      <c r="U30" s="219"/>
    </row>
    <row r="31" spans="1:21" ht="18" customHeight="1" thickBot="1" x14ac:dyDescent="0.35">
      <c r="A31" s="185" t="s">
        <v>62</v>
      </c>
      <c r="B31" s="620" t="str">
        <f>IF(B24&lt;&gt;0,R131," ")</f>
        <v xml:space="preserve"> </v>
      </c>
      <c r="C31" s="621"/>
      <c r="D31" s="308"/>
      <c r="E31" s="280"/>
      <c r="F31" s="280"/>
      <c r="G31" s="280"/>
      <c r="H31" s="281"/>
      <c r="I31" s="280"/>
      <c r="J31" s="280"/>
      <c r="K31" s="280"/>
      <c r="L31" s="280"/>
      <c r="M31" s="282"/>
      <c r="N31" s="224"/>
      <c r="O31" s="225"/>
      <c r="P31" s="226"/>
      <c r="Q31" s="226"/>
      <c r="R31" s="233"/>
      <c r="S31" s="233"/>
      <c r="T31" s="234"/>
      <c r="U31" s="227"/>
    </row>
    <row r="32" spans="1:21" ht="18" customHeight="1" thickBot="1" x14ac:dyDescent="0.25">
      <c r="A32" s="669" t="s">
        <v>63</v>
      </c>
      <c r="B32" s="670"/>
      <c r="C32" s="671"/>
      <c r="D32" s="308"/>
      <c r="E32" s="280"/>
      <c r="F32" s="280"/>
      <c r="G32" s="280"/>
      <c r="H32" s="281"/>
      <c r="I32" s="280"/>
      <c r="J32" s="280"/>
      <c r="K32" s="280"/>
      <c r="L32" s="280"/>
      <c r="M32" s="282"/>
      <c r="N32" s="302"/>
      <c r="O32" s="303"/>
      <c r="P32" s="303"/>
      <c r="Q32" s="303"/>
      <c r="R32" s="303"/>
      <c r="S32" s="303"/>
      <c r="T32" s="303"/>
      <c r="U32" s="303"/>
    </row>
    <row r="33" spans="1:103" ht="18" customHeight="1" thickBot="1" x14ac:dyDescent="0.25">
      <c r="A33" s="672" t="str">
        <f>IF(B29&lt;0,"NB! Skråningshelningen bak er for stor i forhold til mob. friksjonsvinkel for massene bak","Bakre skråningshelning ok")</f>
        <v>Bakre skråningshelning ok</v>
      </c>
      <c r="B33" s="673"/>
      <c r="C33" s="674"/>
      <c r="D33" s="308"/>
      <c r="E33" s="280"/>
      <c r="F33" s="280"/>
      <c r="G33" s="280"/>
      <c r="H33" s="281"/>
      <c r="I33" s="280"/>
      <c r="J33" s="280"/>
      <c r="K33" s="280"/>
      <c r="L33" s="280"/>
      <c r="M33" s="282"/>
      <c r="N33" s="302"/>
      <c r="O33" s="303"/>
      <c r="P33" s="303"/>
      <c r="Q33" s="303"/>
      <c r="R33" s="303"/>
      <c r="S33" s="303"/>
      <c r="T33" s="303"/>
      <c r="U33" s="303"/>
      <c r="Y33" s="209"/>
    </row>
    <row r="34" spans="1:103" ht="18" customHeight="1" thickBot="1" x14ac:dyDescent="0.25">
      <c r="A34" s="646" t="str">
        <f>IF(db_helning_av_bakkant_mur&lt;0,"NB! Helningen for bakskråningen er negativ, forenklet beregning kfr. figur 9.7 HB016  "," ")</f>
        <v xml:space="preserve"> </v>
      </c>
      <c r="B34" s="647"/>
      <c r="C34" s="648"/>
      <c r="D34" s="308"/>
      <c r="E34" s="280"/>
      <c r="F34" s="280"/>
      <c r="G34" s="280"/>
      <c r="H34" s="281"/>
      <c r="I34" s="280"/>
      <c r="J34" s="280"/>
      <c r="K34" s="280"/>
      <c r="L34" s="280"/>
      <c r="M34" s="282"/>
      <c r="N34" s="302"/>
      <c r="O34" s="303"/>
      <c r="P34" s="303"/>
      <c r="Q34" s="303"/>
      <c r="R34" s="303"/>
      <c r="S34" s="303"/>
      <c r="T34" s="303"/>
      <c r="U34" s="303"/>
      <c r="Y34" s="209"/>
    </row>
    <row r="35" spans="1:103" ht="18" customHeight="1" thickBot="1" x14ac:dyDescent="0.35">
      <c r="A35" s="185" t="s">
        <v>64</v>
      </c>
      <c r="B35" s="628" t="str">
        <f>IF(B24&lt;&gt;0, R113," ")</f>
        <v xml:space="preserve"> </v>
      </c>
      <c r="C35" s="629"/>
      <c r="D35" s="308"/>
      <c r="E35" s="280"/>
      <c r="F35" s="280"/>
      <c r="G35" s="280"/>
      <c r="H35" s="281"/>
      <c r="I35" s="280"/>
      <c r="J35" s="280"/>
      <c r="K35" s="280"/>
      <c r="L35" s="280"/>
      <c r="M35" s="282"/>
      <c r="N35" s="302"/>
      <c r="O35" s="303"/>
      <c r="P35" s="303"/>
      <c r="Q35" s="303"/>
      <c r="R35" s="303"/>
      <c r="S35" s="303"/>
      <c r="T35" s="303"/>
      <c r="U35" s="303"/>
      <c r="Y35" s="209"/>
    </row>
    <row r="36" spans="1:103" ht="18" customHeight="1" x14ac:dyDescent="0.3">
      <c r="A36" s="185" t="s">
        <v>65</v>
      </c>
      <c r="B36" s="628" t="str">
        <f>IF(B24&lt;&gt;0,K_Aktiv*K_delta," ")</f>
        <v xml:space="preserve"> </v>
      </c>
      <c r="C36" s="629"/>
      <c r="D36" s="406"/>
      <c r="E36" s="371"/>
      <c r="F36" s="371"/>
      <c r="G36" s="371"/>
      <c r="H36" s="372"/>
      <c r="I36" s="371"/>
      <c r="J36" s="371"/>
      <c r="K36" s="371"/>
      <c r="L36" s="371"/>
      <c r="M36" s="373"/>
      <c r="N36" s="236"/>
      <c r="O36" s="242"/>
      <c r="P36" s="242"/>
      <c r="Q36" s="228"/>
      <c r="R36" s="235"/>
      <c r="S36" s="243"/>
      <c r="T36" s="228"/>
      <c r="U36" s="235"/>
      <c r="Y36" s="209"/>
    </row>
    <row r="37" spans="1:103" ht="18" customHeight="1" x14ac:dyDescent="0.25">
      <c r="A37" s="185" t="s">
        <v>66</v>
      </c>
      <c r="B37" s="628" t="str">
        <f>IF(B24&lt;&gt;0,IF(db_helning_av_bakkant_mur&lt;0,1,R135)," ")</f>
        <v xml:space="preserve"> </v>
      </c>
      <c r="C37" s="629"/>
      <c r="D37" s="407"/>
      <c r="M37" s="329"/>
      <c r="N37" s="236"/>
      <c r="O37" s="242"/>
      <c r="P37" s="242"/>
      <c r="Q37" s="229"/>
      <c r="R37" s="235"/>
      <c r="S37" s="242"/>
      <c r="T37" s="229"/>
      <c r="U37" s="235"/>
      <c r="Y37" s="209"/>
    </row>
    <row r="38" spans="1:103" ht="18" customHeight="1" thickBot="1" x14ac:dyDescent="0.35">
      <c r="A38" s="185" t="s">
        <v>67</v>
      </c>
      <c r="B38" s="417" t="str">
        <f>IF(materialfaktor&lt;&gt;0,R81," ")</f>
        <v xml:space="preserve"> </v>
      </c>
      <c r="C38" s="193" t="s">
        <v>68</v>
      </c>
      <c r="D38" s="408"/>
      <c r="E38" s="382"/>
      <c r="F38" s="382"/>
      <c r="G38" s="382"/>
      <c r="H38" s="386"/>
      <c r="I38" s="382"/>
      <c r="J38" s="382"/>
      <c r="K38" s="382"/>
      <c r="L38" s="382"/>
      <c r="M38" s="387"/>
      <c r="N38" s="302"/>
      <c r="O38" s="303"/>
      <c r="P38" s="303"/>
      <c r="Q38" s="303"/>
      <c r="R38" s="303"/>
      <c r="S38" s="303"/>
      <c r="T38" s="303"/>
      <c r="U38" s="303"/>
      <c r="Y38" s="147"/>
    </row>
    <row r="39" spans="1:103" ht="18" customHeight="1" x14ac:dyDescent="0.2">
      <c r="A39" s="185" t="s">
        <v>69</v>
      </c>
      <c r="B39" s="194" t="str">
        <f>IF(B24&lt;&gt;0,+(Eh_samlet_jordtrykk_på_bakkant_mur/murhøyde_inkl._fotdybde+attraksjon_bak_mur)*ruhet_bak_muren*tanro_mob._friksjonsvinkel_bak_mur*murhøyde_inkl._fotdybde," ")</f>
        <v xml:space="preserve"> </v>
      </c>
      <c r="C39" s="193" t="s">
        <v>68</v>
      </c>
      <c r="D39" s="630" t="s">
        <v>70</v>
      </c>
      <c r="E39" s="631"/>
      <c r="F39" s="631"/>
      <c r="G39" s="631"/>
      <c r="H39" s="631"/>
      <c r="I39" s="631"/>
      <c r="J39" s="631"/>
      <c r="K39" s="631"/>
      <c r="L39" s="631"/>
      <c r="M39" s="640"/>
      <c r="N39" s="302"/>
      <c r="O39" s="303"/>
      <c r="P39" s="303"/>
      <c r="Q39" s="303"/>
      <c r="R39" s="303"/>
      <c r="S39" s="303"/>
      <c r="T39" s="303"/>
      <c r="U39" s="303"/>
    </row>
    <row r="40" spans="1:103" ht="18" customHeight="1" x14ac:dyDescent="0.3">
      <c r="A40" s="185" t="s">
        <v>71</v>
      </c>
      <c r="B40" s="194" t="str">
        <f>IF(materialfaktor&lt;&gt;0,Gvekt," ")</f>
        <v xml:space="preserve"> </v>
      </c>
      <c r="C40" s="197" t="s">
        <v>68</v>
      </c>
      <c r="D40" s="638" t="s">
        <v>72</v>
      </c>
      <c r="E40" s="639"/>
      <c r="F40" s="639"/>
      <c r="G40" s="639"/>
      <c r="H40" s="512" t="str">
        <f>IF(B24&lt;&gt;0,B46-B16/2," ")</f>
        <v xml:space="preserve"> </v>
      </c>
      <c r="I40" s="636" t="s">
        <v>73</v>
      </c>
      <c r="J40" s="637"/>
      <c r="K40" s="637"/>
      <c r="L40" s="637"/>
      <c r="M40" s="198" t="str">
        <f>IF(B24&lt;&gt;0,R115," ")</f>
        <v xml:space="preserve"> </v>
      </c>
      <c r="N40" s="302"/>
      <c r="O40" s="303"/>
      <c r="P40" s="303"/>
      <c r="Q40" s="303"/>
      <c r="R40" s="303"/>
      <c r="S40" s="303"/>
      <c r="T40" s="303"/>
      <c r="U40" s="303"/>
    </row>
    <row r="41" spans="1:103" ht="18" customHeight="1" x14ac:dyDescent="0.3">
      <c r="A41" s="185" t="s">
        <v>74</v>
      </c>
      <c r="B41" s="192" t="str">
        <f>IF(B24&lt;&gt;0,+murens_vekt+TA_skjærkraft_på_bakskråning+Vertikallast_topp_mur_PV," ")</f>
        <v xml:space="preserve"> </v>
      </c>
      <c r="C41" s="197" t="s">
        <v>68</v>
      </c>
      <c r="D41" s="544" t="s">
        <v>75</v>
      </c>
      <c r="E41" s="542"/>
      <c r="F41" s="542"/>
      <c r="G41" s="543"/>
      <c r="H41" s="421" t="str">
        <f>IF(B24&lt;&gt;0,+B41/H44," ")</f>
        <v xml:space="preserve"> </v>
      </c>
      <c r="I41" s="541" t="s">
        <v>76</v>
      </c>
      <c r="J41" s="542"/>
      <c r="K41" s="542"/>
      <c r="L41" s="543"/>
      <c r="M41" s="198" t="str">
        <f>IF(B24&lt;&gt;0,R114," ")</f>
        <v xml:space="preserve"> </v>
      </c>
      <c r="N41" s="236"/>
      <c r="O41" s="242"/>
      <c r="P41" s="242"/>
      <c r="Q41" s="229"/>
      <c r="R41" s="235"/>
      <c r="S41" s="242"/>
      <c r="T41" s="229"/>
      <c r="U41" s="235"/>
    </row>
    <row r="42" spans="1:103" s="146" customFormat="1" ht="18" customHeight="1" x14ac:dyDescent="0.3">
      <c r="A42" s="186" t="s">
        <v>77</v>
      </c>
      <c r="B42" s="194" t="str">
        <f>IF(B24&lt;&gt;0,+R83," ")</f>
        <v xml:space="preserve"> </v>
      </c>
      <c r="C42" s="415" t="s">
        <v>68</v>
      </c>
      <c r="D42" s="544" t="s">
        <v>78</v>
      </c>
      <c r="E42" s="542"/>
      <c r="F42" s="542"/>
      <c r="G42" s="543"/>
      <c r="H42" s="422" t="str">
        <f>IF(B24&lt;&gt;0,+B42/(H44*(H41+H10)*B26)," ")</f>
        <v xml:space="preserve"> </v>
      </c>
      <c r="I42" s="541" t="s">
        <v>79</v>
      </c>
      <c r="J42" s="542"/>
      <c r="K42" s="542"/>
      <c r="L42" s="543"/>
      <c r="M42" s="198" t="str">
        <f>IF(B24&lt;&gt;0,R116," ")</f>
        <v xml:space="preserve"> </v>
      </c>
      <c r="N42" s="236"/>
      <c r="O42" s="242"/>
      <c r="P42" s="242"/>
      <c r="Q42" s="229"/>
      <c r="R42" s="231"/>
      <c r="S42" s="242"/>
      <c r="T42" s="229"/>
      <c r="U42" s="231"/>
    </row>
    <row r="43" spans="1:103" ht="18" customHeight="1" x14ac:dyDescent="0.3">
      <c r="A43" s="185" t="s">
        <v>80</v>
      </c>
      <c r="B43" s="152" t="str">
        <f>IF(materialfaktor&lt;&gt;0,R82," ")</f>
        <v xml:space="preserve"> </v>
      </c>
      <c r="C43" s="412" t="s">
        <v>38</v>
      </c>
      <c r="D43" s="544" t="s">
        <v>81</v>
      </c>
      <c r="E43" s="542"/>
      <c r="F43" s="542"/>
      <c r="G43" s="543"/>
      <c r="H43" s="423" t="str">
        <f>IF(B24&lt;&gt;0,R70," ")</f>
        <v xml:space="preserve"> </v>
      </c>
      <c r="I43" s="541" t="s">
        <v>82</v>
      </c>
      <c r="J43" s="542"/>
      <c r="K43" s="542"/>
      <c r="L43" s="543"/>
      <c r="M43" s="198" t="str">
        <f>IF(B24&lt;&gt;0,R117," ")</f>
        <v xml:space="preserve"> </v>
      </c>
      <c r="N43" s="236"/>
      <c r="O43" s="242"/>
      <c r="P43" s="242"/>
      <c r="Q43" s="228"/>
      <c r="R43" s="235"/>
      <c r="S43" s="235"/>
      <c r="T43" s="239"/>
      <c r="U43" s="235"/>
    </row>
    <row r="44" spans="1:103" ht="18" customHeight="1" x14ac:dyDescent="0.3">
      <c r="A44" s="185" t="s">
        <v>83</v>
      </c>
      <c r="B44" s="191" t="str">
        <f>IF(B24&lt;&gt;0,-tilhørende_momentarm_c1/db_helning_av_bakkant_mur," ")</f>
        <v xml:space="preserve"> </v>
      </c>
      <c r="C44" s="412" t="s">
        <v>38</v>
      </c>
      <c r="D44" s="545" t="s">
        <v>84</v>
      </c>
      <c r="E44" s="546"/>
      <c r="F44" s="546"/>
      <c r="G44" s="547"/>
      <c r="H44" s="199" t="str">
        <f>IF(B24&lt;&gt;0,R121," ")</f>
        <v xml:space="preserve"> </v>
      </c>
      <c r="I44" s="606" t="s">
        <v>85</v>
      </c>
      <c r="J44" s="546"/>
      <c r="K44" s="546"/>
      <c r="L44" s="547"/>
      <c r="M44" s="201" t="str">
        <f>IF(B24&lt;&gt;0,M42*(0.5*M40*spes_tyngde_for_matr._under_mur*H44+M41*eff._tyngde_for_matr._over_murnivå*B15)+M43*M41*H10-H10," ")</f>
        <v xml:space="preserve"> </v>
      </c>
      <c r="N44" s="236"/>
      <c r="O44" s="235"/>
      <c r="P44" s="242"/>
      <c r="Q44" s="229"/>
      <c r="R44" s="238"/>
      <c r="S44" s="243"/>
      <c r="T44" s="238"/>
      <c r="U44" s="245"/>
    </row>
    <row r="45" spans="1:103" ht="18" customHeight="1" x14ac:dyDescent="0.3">
      <c r="A45" s="185" t="s">
        <v>86</v>
      </c>
      <c r="B45" s="191" t="str">
        <f>IF(materialfaktor&lt;&gt;0,(murhøyde_inkl._fotdybde/6*(murens_bredde_ved_bunn-murens_bredde_øverst)*spes._tyngde_for_muren*(murens_bredde_ved_bunn-murens_bredde_øverst-(murhøyde_inkl._fotdybde/db_helning_av_bakkant_mur))+murhøyde_inkl._fotdybde*murens_bredde_øverst*spes._tyngde_for_muren*(murens_bredde_ved_bunn-0.5*murens_bredde_øverst-0.5*murhøyde_inkl._fotdybde/murens_helning))/murens_vekt," ")</f>
        <v xml:space="preserve"> </v>
      </c>
      <c r="C45" s="412" t="s">
        <v>38</v>
      </c>
      <c r="D45" s="209" t="s">
        <v>253</v>
      </c>
      <c r="H45" s="518" t="str">
        <f>IF(materialfaktor&lt;&gt;0,IF(AND(R125="OK",R126="OK"),"OK","NEI"),"")</f>
        <v/>
      </c>
      <c r="I45" s="563" t="s">
        <v>254</v>
      </c>
      <c r="J45" s="564"/>
      <c r="K45" s="564"/>
      <c r="L45" s="565"/>
      <c r="M45" s="200" t="str">
        <f>IF(B24&lt;&gt;0,R69," ")</f>
        <v xml:space="preserve"> </v>
      </c>
      <c r="P45" s="148"/>
      <c r="U45" s="149"/>
      <c r="AF45" s="1"/>
      <c r="AG45" s="1"/>
      <c r="AH45" s="1"/>
      <c r="AI45" s="1"/>
      <c r="AJ45" s="1"/>
      <c r="AK45" s="150"/>
      <c r="AM45" s="1"/>
      <c r="AZ45" s="150"/>
      <c r="BB45" s="1"/>
      <c r="BC45" s="1"/>
      <c r="BD45" s="1"/>
      <c r="BE45" s="1"/>
      <c r="BF45" s="1"/>
      <c r="BG45" s="150"/>
      <c r="BI45" s="1"/>
      <c r="BJ45" s="1"/>
      <c r="BK45" s="1"/>
      <c r="BL45" s="1"/>
      <c r="BM45" s="18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</row>
    <row r="46" spans="1:103" ht="18" customHeight="1" x14ac:dyDescent="0.2">
      <c r="A46" s="186" t="s">
        <v>87</v>
      </c>
      <c r="B46" s="413" t="str">
        <f>IF(B24&lt;&gt;0,(Eh_samlet_jordtrykk_på_bakkant_mur*tilhørende_momentarm_c1-TA_skjærkraft_på_bakskråning*tilhørende_momentarm_c2-murens_vekt*tilhørende_momentarm_c3+Vertikallast_topp_mur_PV*Momentarm_vertikallast_cpv)/Qv_vertikalresultant," ")</f>
        <v xml:space="preserve"> </v>
      </c>
      <c r="C46" s="412" t="s">
        <v>38</v>
      </c>
      <c r="D46" s="553" t="str">
        <f>IF(B24&lt;&gt;0,IF(AND(H43&gt;H42-0.0001,H45="OK"),"Krav til maksimal ruhet i fundamentfuge og effektiv fundamentbredde innfridd","NB! Krav til maksimal ruhet i fundamentfuge eller effektiv fundamentbredde ikke innfridd")," ")</f>
        <v xml:space="preserve"> </v>
      </c>
      <c r="E46" s="554"/>
      <c r="F46" s="554"/>
      <c r="G46" s="554"/>
      <c r="H46" s="555"/>
      <c r="I46" s="559" t="str">
        <f>IF(B24&lt;&gt;0,IF(M44&gt;H41,"Krav til maksimalt tillatt overført fundamenttrykk innfridd","NB! Krav til maksimalt tillatt overført fundamenttrykk overskredet")," ")</f>
        <v xml:space="preserve"> </v>
      </c>
      <c r="J46" s="554"/>
      <c r="K46" s="554"/>
      <c r="L46" s="554"/>
      <c r="M46" s="560"/>
      <c r="O46" s="209"/>
      <c r="P46" s="148"/>
      <c r="U46" s="149"/>
      <c r="AF46" s="1"/>
      <c r="AG46" s="1"/>
      <c r="AH46" s="1"/>
      <c r="AI46" s="1"/>
      <c r="AJ46" s="1"/>
      <c r="AK46" s="150"/>
      <c r="AM46" s="1"/>
      <c r="AZ46" s="150"/>
      <c r="BB46" s="1"/>
      <c r="BC46" s="1"/>
      <c r="BD46" s="1"/>
      <c r="BE46" s="1"/>
      <c r="BF46" s="1"/>
      <c r="BG46" s="150"/>
      <c r="BI46" s="1"/>
      <c r="BJ46" s="1"/>
      <c r="BK46" s="1"/>
      <c r="BL46" s="1"/>
      <c r="BM46" s="18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</row>
    <row r="47" spans="1:103" ht="18" customHeight="1" thickBot="1" x14ac:dyDescent="0.25">
      <c r="A47" s="196" t="s">
        <v>88</v>
      </c>
      <c r="B47" s="191" t="str">
        <f>IF(B24&lt;&gt;0,R84," ")</f>
        <v xml:space="preserve"> </v>
      </c>
      <c r="C47" s="414" t="s">
        <v>38</v>
      </c>
      <c r="D47" s="556"/>
      <c r="E47" s="557"/>
      <c r="F47" s="557"/>
      <c r="G47" s="557"/>
      <c r="H47" s="558"/>
      <c r="I47" s="561"/>
      <c r="J47" s="557"/>
      <c r="K47" s="557"/>
      <c r="L47" s="557"/>
      <c r="M47" s="562"/>
      <c r="O47" s="209"/>
      <c r="Q47" s="240"/>
      <c r="U47" s="149"/>
      <c r="AF47" s="1"/>
      <c r="AG47" s="1"/>
      <c r="AH47" s="1"/>
      <c r="AI47" s="1"/>
      <c r="AJ47" s="1"/>
      <c r="AK47" s="150"/>
      <c r="AM47" s="1"/>
      <c r="AZ47" s="150"/>
      <c r="BB47" s="1"/>
      <c r="BC47" s="1"/>
      <c r="BD47" s="1"/>
      <c r="BE47" s="1"/>
      <c r="BF47" s="1"/>
      <c r="BG47" s="150"/>
      <c r="BI47" s="1"/>
      <c r="BJ47" s="1"/>
      <c r="BK47" s="1"/>
      <c r="BL47" s="1"/>
      <c r="BM47" s="18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</row>
    <row r="48" spans="1:103" ht="18" customHeight="1" x14ac:dyDescent="0.2">
      <c r="A48" s="409" t="s">
        <v>21</v>
      </c>
      <c r="B48" s="410"/>
      <c r="C48" s="410"/>
      <c r="D48" s="288"/>
      <c r="E48" s="288"/>
      <c r="F48" s="288"/>
      <c r="G48" s="288"/>
      <c r="H48" s="288"/>
      <c r="I48" s="288"/>
      <c r="J48" s="288"/>
      <c r="K48" s="288"/>
      <c r="L48" s="288"/>
      <c r="M48" s="411"/>
      <c r="P48" s="148"/>
      <c r="U48" s="149"/>
      <c r="AF48" s="1"/>
      <c r="AG48" s="1"/>
      <c r="AH48" s="1"/>
      <c r="AI48" s="1"/>
      <c r="AJ48" s="1"/>
      <c r="AK48" s="150"/>
      <c r="AM48" s="1"/>
      <c r="AZ48" s="150"/>
      <c r="BB48" s="1"/>
      <c r="BC48" s="1"/>
      <c r="BD48" s="1"/>
      <c r="BE48" s="1"/>
      <c r="BF48" s="1"/>
      <c r="BG48" s="150"/>
      <c r="BI48" s="1"/>
      <c r="BJ48" s="1"/>
      <c r="BK48" s="1"/>
      <c r="BL48" s="1"/>
      <c r="BM48" s="18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</row>
    <row r="49" spans="1:192" ht="18" customHeight="1" x14ac:dyDescent="0.2">
      <c r="A49" s="587"/>
      <c r="B49" s="588"/>
      <c r="C49" s="588"/>
      <c r="D49" s="588"/>
      <c r="E49" s="588"/>
      <c r="F49" s="588"/>
      <c r="G49" s="588"/>
      <c r="H49" s="588"/>
      <c r="I49" s="588"/>
      <c r="J49" s="588"/>
      <c r="K49" s="588"/>
      <c r="L49" s="588"/>
      <c r="M49" s="589"/>
      <c r="P49" s="416"/>
      <c r="U49" s="149"/>
      <c r="AF49" s="1"/>
      <c r="AG49" s="1"/>
      <c r="AH49" s="1"/>
      <c r="AI49" s="1"/>
      <c r="AJ49" s="1"/>
      <c r="AK49" s="150"/>
      <c r="AM49" s="1"/>
      <c r="AZ49" s="150"/>
      <c r="BB49" s="1"/>
      <c r="BC49" s="1"/>
      <c r="BD49" s="1"/>
      <c r="BE49" s="1"/>
      <c r="BF49" s="1"/>
      <c r="BG49" s="150"/>
      <c r="BI49" s="1"/>
      <c r="BJ49" s="1"/>
      <c r="BK49" s="1"/>
      <c r="BL49" s="1"/>
      <c r="BM49" s="18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</row>
    <row r="50" spans="1:192" ht="17.25" customHeight="1" x14ac:dyDescent="0.2">
      <c r="A50" s="587"/>
      <c r="B50" s="588"/>
      <c r="C50" s="588"/>
      <c r="D50" s="588"/>
      <c r="E50" s="588"/>
      <c r="F50" s="588"/>
      <c r="G50" s="588"/>
      <c r="H50" s="588"/>
      <c r="I50" s="588"/>
      <c r="J50" s="588"/>
      <c r="K50" s="588"/>
      <c r="L50" s="588"/>
      <c r="M50" s="589"/>
      <c r="O50" s="209"/>
      <c r="P50" s="148"/>
      <c r="U50" s="149"/>
      <c r="AF50" s="1"/>
      <c r="AG50" s="1"/>
      <c r="AH50" s="1"/>
      <c r="AI50" s="1"/>
      <c r="AJ50" s="1"/>
      <c r="AK50" s="150"/>
      <c r="AM50" s="1"/>
      <c r="AZ50" s="150"/>
      <c r="BB50" s="1"/>
      <c r="BC50" s="1"/>
      <c r="BD50" s="1"/>
      <c r="BE50" s="1"/>
      <c r="BF50" s="1"/>
      <c r="BG50" s="150"/>
      <c r="BI50" s="1"/>
      <c r="BJ50" s="1"/>
      <c r="BK50" s="1"/>
      <c r="BL50" s="1"/>
      <c r="BM50" s="18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</row>
    <row r="51" spans="1:192" ht="18" customHeight="1" x14ac:dyDescent="0.2">
      <c r="A51" s="587"/>
      <c r="B51" s="588"/>
      <c r="C51" s="588"/>
      <c r="D51" s="588"/>
      <c r="E51" s="588"/>
      <c r="F51" s="588"/>
      <c r="G51" s="588"/>
      <c r="H51" s="588"/>
      <c r="I51" s="588"/>
      <c r="J51" s="588"/>
      <c r="K51" s="588"/>
      <c r="L51" s="588"/>
      <c r="M51" s="589"/>
      <c r="P51" s="148"/>
      <c r="U51" s="149"/>
      <c r="AF51" s="1"/>
      <c r="AG51" s="1"/>
      <c r="AH51" s="1"/>
      <c r="AI51" s="1"/>
      <c r="AJ51" s="1"/>
      <c r="AK51" s="150"/>
      <c r="AM51" s="1"/>
      <c r="AZ51" s="150"/>
      <c r="BB51" s="1"/>
      <c r="BC51" s="1"/>
      <c r="BD51" s="1"/>
      <c r="BE51" s="1"/>
      <c r="BF51" s="1"/>
      <c r="BG51" s="150"/>
      <c r="BI51" s="1"/>
      <c r="BJ51" s="1"/>
      <c r="BK51" s="1"/>
      <c r="BL51" s="1"/>
      <c r="BM51" s="18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</row>
    <row r="52" spans="1:192" ht="18" customHeight="1" thickBot="1" x14ac:dyDescent="0.25">
      <c r="A52" s="590"/>
      <c r="B52" s="591"/>
      <c r="C52" s="591"/>
      <c r="D52" s="591"/>
      <c r="E52" s="591"/>
      <c r="F52" s="591"/>
      <c r="G52" s="591"/>
      <c r="H52" s="591"/>
      <c r="I52" s="591"/>
      <c r="J52" s="591"/>
      <c r="K52" s="591"/>
      <c r="L52" s="591"/>
      <c r="M52" s="592"/>
      <c r="AZ52" s="152"/>
      <c r="BA52" s="150"/>
      <c r="BC52" s="1"/>
      <c r="BD52" s="1"/>
      <c r="BH52" s="150"/>
      <c r="BJ52" s="1"/>
      <c r="BK52" s="1"/>
      <c r="BN52" s="152"/>
      <c r="BO52" s="1"/>
      <c r="BQ52" s="1"/>
      <c r="BR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</row>
    <row r="53" spans="1:192" ht="18" customHeight="1" x14ac:dyDescent="0.2">
      <c r="A53" s="598" t="s">
        <v>89</v>
      </c>
      <c r="B53" s="599"/>
      <c r="C53" s="599"/>
      <c r="D53" s="599"/>
      <c r="E53" s="599"/>
      <c r="F53" s="599"/>
      <c r="G53" s="600"/>
      <c r="H53" s="332" t="s">
        <v>90</v>
      </c>
      <c r="I53" s="333"/>
      <c r="J53" s="330" t="s">
        <v>91</v>
      </c>
      <c r="K53" s="330"/>
      <c r="L53" s="330" t="s">
        <v>92</v>
      </c>
      <c r="M53" s="33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</row>
    <row r="54" spans="1:192" ht="18" customHeight="1" x14ac:dyDescent="0.2">
      <c r="A54" s="601"/>
      <c r="B54" s="602"/>
      <c r="C54" s="602"/>
      <c r="D54" s="602"/>
      <c r="E54" s="602"/>
      <c r="F54" s="602"/>
      <c r="G54" s="603"/>
      <c r="H54" s="569"/>
      <c r="I54" s="576"/>
      <c r="J54" s="569"/>
      <c r="K54" s="576"/>
      <c r="L54" s="569"/>
      <c r="M54" s="570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</row>
    <row r="55" spans="1:192" ht="18" customHeight="1" x14ac:dyDescent="0.2">
      <c r="A55" s="207" t="s">
        <v>93</v>
      </c>
      <c r="B55" s="204"/>
      <c r="C55" s="205"/>
      <c r="D55" s="204"/>
      <c r="E55" s="204"/>
      <c r="F55" s="204"/>
      <c r="G55" s="208" t="s">
        <v>94</v>
      </c>
      <c r="H55" s="604">
        <v>1350000000</v>
      </c>
      <c r="I55" s="605"/>
      <c r="J55" s="324" t="s">
        <v>95</v>
      </c>
      <c r="K55" s="324"/>
      <c r="L55" s="324" t="s">
        <v>96</v>
      </c>
      <c r="M55" s="325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</row>
    <row r="56" spans="1:192" ht="18" customHeight="1" x14ac:dyDescent="0.2">
      <c r="A56" s="579"/>
      <c r="B56" s="580"/>
      <c r="C56" s="580"/>
      <c r="D56" s="580"/>
      <c r="E56" s="580"/>
      <c r="F56" s="580"/>
      <c r="G56" s="580"/>
      <c r="H56" s="580"/>
      <c r="I56" s="581"/>
      <c r="J56" s="569"/>
      <c r="K56" s="576"/>
      <c r="L56" s="569"/>
      <c r="M56" s="570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</row>
    <row r="57" spans="1:192" ht="18" customHeight="1" x14ac:dyDescent="0.2">
      <c r="A57" s="582"/>
      <c r="B57" s="583"/>
      <c r="C57" s="583"/>
      <c r="D57" s="583"/>
      <c r="E57" s="583"/>
      <c r="F57" s="583"/>
      <c r="G57" s="583"/>
      <c r="H57" s="583"/>
      <c r="I57" s="584"/>
      <c r="J57" s="326"/>
      <c r="K57" s="204"/>
      <c r="L57" s="204"/>
      <c r="M57" s="327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</row>
    <row r="58" spans="1:192" ht="18" customHeight="1" x14ac:dyDescent="0.2">
      <c r="A58" s="207" t="s">
        <v>97</v>
      </c>
      <c r="B58" s="204"/>
      <c r="C58" s="205"/>
      <c r="D58" s="204"/>
      <c r="E58" s="204"/>
      <c r="F58" s="204"/>
      <c r="G58" s="154"/>
      <c r="H58" s="206" t="s">
        <v>98</v>
      </c>
      <c r="I58" s="206" t="s">
        <v>99</v>
      </c>
      <c r="J58" s="328"/>
      <c r="M58" s="329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</row>
    <row r="59" spans="1:192" ht="18" customHeight="1" x14ac:dyDescent="0.2">
      <c r="A59" s="579"/>
      <c r="B59" s="580"/>
      <c r="C59" s="580"/>
      <c r="D59" s="580"/>
      <c r="E59" s="580"/>
      <c r="F59" s="580"/>
      <c r="G59" s="581"/>
      <c r="H59" s="596"/>
      <c r="I59" s="596"/>
      <c r="J59" s="571" t="s">
        <v>100</v>
      </c>
      <c r="K59" s="572"/>
      <c r="L59" s="572"/>
      <c r="M59" s="573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</row>
    <row r="60" spans="1:192" ht="18" customHeight="1" x14ac:dyDescent="0.2">
      <c r="A60" s="582"/>
      <c r="B60" s="583"/>
      <c r="C60" s="583"/>
      <c r="D60" s="583"/>
      <c r="E60" s="583"/>
      <c r="F60" s="583"/>
      <c r="G60" s="584"/>
      <c r="H60" s="597"/>
      <c r="I60" s="597"/>
      <c r="J60" s="571" t="s">
        <v>101</v>
      </c>
      <c r="K60" s="572"/>
      <c r="L60" s="572"/>
      <c r="M60" s="573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</row>
    <row r="61" spans="1:192" ht="18" customHeight="1" thickBot="1" x14ac:dyDescent="0.25">
      <c r="A61" s="585" t="str">
        <f>"Beregningsark revisjon/revisjonssdato: "&amp;MAX(Forside!B21:B30)&amp;" /"</f>
        <v>Beregningsark revisjon/revisjonssdato: 1 /</v>
      </c>
      <c r="B61" s="586"/>
      <c r="C61" s="586"/>
      <c r="D61" s="586"/>
      <c r="E61" s="586"/>
      <c r="F61" s="586"/>
      <c r="G61" s="586"/>
      <c r="H61" s="574">
        <f>MAX(Forside!E21:E30)</f>
        <v>45555</v>
      </c>
      <c r="I61" s="575"/>
      <c r="J61" s="593" t="s">
        <v>102</v>
      </c>
      <c r="K61" s="594"/>
      <c r="L61" s="594"/>
      <c r="M61" s="595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</row>
    <row r="62" spans="1:192" ht="18" customHeight="1" x14ac:dyDescent="0.2"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</row>
    <row r="63" spans="1:192" ht="18" customHeight="1" thickBot="1" x14ac:dyDescent="0.25">
      <c r="B63" s="209"/>
      <c r="C63"/>
      <c r="D63" s="149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</row>
    <row r="64" spans="1:192" s="341" customFormat="1" ht="18" customHeight="1" thickBot="1" x14ac:dyDescent="0.25">
      <c r="A64" s="566" t="s">
        <v>103</v>
      </c>
      <c r="B64" s="567"/>
      <c r="C64" s="567"/>
      <c r="D64" s="567"/>
      <c r="E64" s="567"/>
      <c r="F64" s="567"/>
      <c r="G64" s="567"/>
      <c r="H64" s="567"/>
      <c r="I64" s="567"/>
      <c r="J64" s="567"/>
      <c r="K64" s="567"/>
      <c r="L64" s="567"/>
      <c r="M64" s="567"/>
      <c r="N64" s="567"/>
      <c r="O64" s="567"/>
      <c r="P64" s="567"/>
      <c r="Q64" s="567"/>
      <c r="R64" s="567"/>
      <c r="S64" s="567"/>
      <c r="T64" s="567"/>
      <c r="U64" s="567"/>
      <c r="V64" s="567"/>
      <c r="W64" s="567"/>
      <c r="X64" s="567"/>
      <c r="Y64" s="567"/>
      <c r="Z64" s="567"/>
      <c r="AA64" s="567"/>
      <c r="AB64" s="567"/>
      <c r="AC64" s="567"/>
      <c r="AZ64" s="342"/>
      <c r="BA64" s="342"/>
      <c r="BB64" s="342"/>
      <c r="BC64" s="342"/>
      <c r="BD64" s="342"/>
      <c r="BE64" s="342"/>
      <c r="BF64" s="342"/>
      <c r="BG64" s="342"/>
      <c r="BH64" s="342"/>
      <c r="BI64" s="342"/>
      <c r="BJ64" s="342"/>
      <c r="BK64" s="342"/>
      <c r="BL64" s="342"/>
      <c r="BM64" s="342"/>
      <c r="BN64" s="342"/>
      <c r="BO64" s="342"/>
      <c r="BP64" s="342"/>
      <c r="BQ64" s="342"/>
      <c r="BR64" s="342"/>
      <c r="BS64" s="342"/>
      <c r="BT64" s="342"/>
      <c r="BU64" s="342"/>
      <c r="BV64" s="342"/>
      <c r="BW64" s="342"/>
      <c r="BX64" s="342"/>
      <c r="BY64" s="342"/>
      <c r="BZ64" s="342"/>
      <c r="CA64" s="342"/>
      <c r="CB64" s="342"/>
      <c r="CC64" s="342"/>
      <c r="CD64" s="342"/>
      <c r="CE64" s="342"/>
      <c r="CF64" s="342"/>
      <c r="CG64" s="342"/>
      <c r="CH64" s="342"/>
      <c r="CI64" s="342"/>
    </row>
    <row r="65" spans="1:87" ht="18" customHeight="1" thickBot="1" x14ac:dyDescent="0.25"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</row>
    <row r="66" spans="1:87" ht="18" customHeight="1" thickTop="1" thickBot="1" x14ac:dyDescent="0.3">
      <c r="A66" s="577" t="s">
        <v>249</v>
      </c>
      <c r="B66" s="578"/>
      <c r="C66" s="578"/>
      <c r="D66" s="578"/>
      <c r="E66" s="578"/>
      <c r="F66" s="384"/>
      <c r="G66" s="384"/>
      <c r="H66" s="375"/>
      <c r="I66" s="374"/>
      <c r="J66" s="374"/>
      <c r="K66" s="374"/>
      <c r="L66" s="376"/>
      <c r="M66" s="377"/>
      <c r="O66" s="64" t="s">
        <v>104</v>
      </c>
      <c r="P66" s="51"/>
      <c r="Q66" s="7"/>
      <c r="R66" s="1"/>
      <c r="S66" s="1"/>
      <c r="T66" s="1"/>
      <c r="U66" s="426" t="s">
        <v>105</v>
      </c>
      <c r="V66" s="78"/>
      <c r="W66" s="79"/>
      <c r="X66" s="80"/>
      <c r="Y66" s="1"/>
      <c r="Z66" s="1"/>
      <c r="AA66" s="1"/>
      <c r="AB66" s="1"/>
      <c r="AC66" s="1"/>
      <c r="AD66" s="107"/>
      <c r="AE66" s="427" t="s">
        <v>105</v>
      </c>
      <c r="AF66" s="108"/>
      <c r="AG66" s="109"/>
      <c r="AH66" s="110"/>
      <c r="AI66" s="108"/>
      <c r="AJ66" s="108"/>
      <c r="AK66" s="108"/>
      <c r="AL66" s="108"/>
      <c r="AM66" s="15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</row>
    <row r="67" spans="1:87" ht="18" customHeight="1" thickBot="1" x14ac:dyDescent="0.4">
      <c r="A67" s="266"/>
      <c r="B67" s="182"/>
      <c r="C67" s="248"/>
      <c r="D67" s="182"/>
      <c r="E67" s="182"/>
      <c r="F67" s="181"/>
      <c r="G67" s="181"/>
      <c r="H67" s="379"/>
      <c r="I67" s="378"/>
      <c r="J67" s="378"/>
      <c r="K67" s="378"/>
      <c r="M67" s="329"/>
      <c r="O67" s="6" t="s">
        <v>106</v>
      </c>
      <c r="P67" s="52"/>
      <c r="Q67" s="8"/>
      <c r="R67" s="428" t="str">
        <f>IF(H42&lt;R70,"Ja","Nei")</f>
        <v>Nei</v>
      </c>
      <c r="S67" s="429"/>
      <c r="T67" s="1"/>
      <c r="U67" s="430" t="s">
        <v>107</v>
      </c>
      <c r="V67" s="66" t="str">
        <f>R98</f>
        <v xml:space="preserve"> </v>
      </c>
      <c r="W67" s="27"/>
      <c r="X67" s="1"/>
      <c r="Y67" s="1"/>
      <c r="Z67" s="1"/>
      <c r="AA67" s="1"/>
      <c r="AB67" s="1"/>
      <c r="AC67" s="1"/>
      <c r="AD67" s="111"/>
      <c r="AE67" s="431" t="s">
        <v>107</v>
      </c>
      <c r="AF67" s="91">
        <v>0.69259999999999999</v>
      </c>
      <c r="AG67" s="92"/>
      <c r="AH67" s="93"/>
      <c r="AI67" s="93"/>
      <c r="AJ67" s="93"/>
      <c r="AK67" s="93"/>
      <c r="AL67" s="93"/>
      <c r="AM67" s="112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</row>
    <row r="68" spans="1:87" ht="18" customHeight="1" thickBot="1" x14ac:dyDescent="0.4">
      <c r="A68" s="266"/>
      <c r="B68" s="182"/>
      <c r="C68" s="248"/>
      <c r="D68" s="182"/>
      <c r="E68" s="182"/>
      <c r="F68" s="182"/>
      <c r="G68" s="182"/>
      <c r="H68" s="379"/>
      <c r="I68" s="378"/>
      <c r="J68" s="378"/>
      <c r="K68" s="378"/>
      <c r="M68" s="329"/>
      <c r="N68" s="289"/>
      <c r="O68" s="6" t="s">
        <v>108</v>
      </c>
      <c r="P68" s="52"/>
      <c r="Q68" s="8"/>
      <c r="R68" s="428" t="str">
        <f>IF(M44&gt;H41,"Ja","Nei")</f>
        <v>Nei</v>
      </c>
      <c r="S68" s="429"/>
      <c r="T68" s="1"/>
      <c r="U68" s="430" t="s">
        <v>109</v>
      </c>
      <c r="V68" s="67" t="str">
        <f>R91</f>
        <v xml:space="preserve"> </v>
      </c>
      <c r="W68" s="27"/>
      <c r="X68" s="28"/>
      <c r="Y68" s="1"/>
      <c r="Z68" s="1"/>
      <c r="AA68" s="1"/>
      <c r="AB68" s="1"/>
      <c r="AC68" s="1"/>
      <c r="AD68" s="111"/>
      <c r="AE68" s="431" t="s">
        <v>109</v>
      </c>
      <c r="AF68" s="94">
        <v>0.45600000000000002</v>
      </c>
      <c r="AG68" s="92"/>
      <c r="AH68" s="95"/>
      <c r="AI68" s="93"/>
      <c r="AJ68" s="93"/>
      <c r="AK68" s="93"/>
      <c r="AL68" s="93"/>
      <c r="AM68" s="112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</row>
    <row r="69" spans="1:87" ht="18" customHeight="1" thickBot="1" x14ac:dyDescent="0.3">
      <c r="A69" s="266"/>
      <c r="B69" s="182"/>
      <c r="C69" s="248"/>
      <c r="D69" s="182"/>
      <c r="E69" s="182"/>
      <c r="F69" s="182"/>
      <c r="G69" s="182"/>
      <c r="H69" s="379"/>
      <c r="I69" s="378"/>
      <c r="J69" s="378"/>
      <c r="K69" s="378"/>
      <c r="M69" s="329"/>
      <c r="N69" s="209"/>
      <c r="O69" s="6" t="s">
        <v>110</v>
      </c>
      <c r="P69" s="52"/>
      <c r="Q69" s="8"/>
      <c r="R69" s="428" t="str">
        <f>IF(R67="Ja",IF(R68="Ja","OK","NEI"),"Nei")</f>
        <v>Nei</v>
      </c>
      <c r="S69" s="429"/>
      <c r="T69" s="1"/>
      <c r="U69" s="432" t="s">
        <v>111</v>
      </c>
      <c r="V69" s="68" t="e">
        <f>V67+SQRT(1+(V67)^2)</f>
        <v>#VALUE!</v>
      </c>
      <c r="W69" s="29"/>
      <c r="X69" s="27"/>
      <c r="Y69" s="1"/>
      <c r="Z69" s="1"/>
      <c r="AA69" s="1"/>
      <c r="AB69" s="1"/>
      <c r="AC69" s="1"/>
      <c r="AD69" s="111"/>
      <c r="AE69" s="433" t="s">
        <v>111</v>
      </c>
      <c r="AF69" s="96">
        <f>AF67+SQRT(1+(AF67)^2)</f>
        <v>1.9090270467233128</v>
      </c>
      <c r="AG69" s="97"/>
      <c r="AH69" s="93"/>
      <c r="AI69" s="93"/>
      <c r="AJ69" s="93"/>
      <c r="AK69" s="93"/>
      <c r="AL69" s="93"/>
      <c r="AM69" s="112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</row>
    <row r="70" spans="1:87" ht="18" customHeight="1" thickBot="1" x14ac:dyDescent="0.4">
      <c r="A70" s="266"/>
      <c r="B70" s="568" t="s">
        <v>112</v>
      </c>
      <c r="C70" s="568"/>
      <c r="D70" s="568" t="s">
        <v>113</v>
      </c>
      <c r="E70" s="568"/>
      <c r="F70" s="182"/>
      <c r="G70" s="182"/>
      <c r="H70" s="379"/>
      <c r="I70" s="378"/>
      <c r="J70" s="378"/>
      <c r="K70" s="378"/>
      <c r="M70" s="329"/>
      <c r="N70" s="209"/>
      <c r="O70" s="25" t="s">
        <v>114</v>
      </c>
      <c r="P70" s="53"/>
      <c r="Q70" s="26"/>
      <c r="R70" s="419">
        <f>R143</f>
        <v>0.8</v>
      </c>
      <c r="S70" s="429"/>
      <c r="T70" s="1"/>
      <c r="U70" s="434" t="s">
        <v>115</v>
      </c>
      <c r="V70" s="69" t="e">
        <f>V69^2</f>
        <v>#VALUE!</v>
      </c>
      <c r="W70" s="29"/>
      <c r="X70" s="30"/>
      <c r="Y70" s="1"/>
      <c r="Z70" s="1"/>
      <c r="AA70" s="1"/>
      <c r="AB70" s="1"/>
      <c r="AC70" s="1"/>
      <c r="AD70" s="111"/>
      <c r="AE70" s="431" t="s">
        <v>115</v>
      </c>
      <c r="AF70" s="98">
        <f>AF69^2</f>
        <v>3.6443842651211336</v>
      </c>
      <c r="AG70" s="97"/>
      <c r="AH70" s="99"/>
      <c r="AI70" s="93"/>
      <c r="AJ70" s="93"/>
      <c r="AK70" s="93"/>
      <c r="AL70" s="93"/>
      <c r="AM70" s="112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</row>
    <row r="71" spans="1:87" ht="18" customHeight="1" thickBot="1" x14ac:dyDescent="0.4">
      <c r="A71" s="277" t="s">
        <v>116</v>
      </c>
      <c r="B71" s="184">
        <f>(Boggilast_bak_mur__qQk*C6+Nyttelast_bak_mur*B6)</f>
        <v>0</v>
      </c>
      <c r="C71" s="246" t="s">
        <v>23</v>
      </c>
      <c r="D71" s="285">
        <v>0</v>
      </c>
      <c r="E71" s="246" t="s">
        <v>38</v>
      </c>
      <c r="F71" s="182"/>
      <c r="G71" s="182"/>
      <c r="H71" s="379"/>
      <c r="I71" s="378"/>
      <c r="J71" s="378"/>
      <c r="K71" s="378"/>
      <c r="M71" s="329"/>
      <c r="N71" s="209"/>
      <c r="O71" s="39" t="s">
        <v>117</v>
      </c>
      <c r="P71" s="57"/>
      <c r="Q71" s="10"/>
      <c r="R71" s="435">
        <f>H5</f>
        <v>0</v>
      </c>
      <c r="S71" s="436"/>
      <c r="T71" s="1"/>
      <c r="U71" s="65" t="s">
        <v>118</v>
      </c>
      <c r="V71" s="69" t="e">
        <f>ATAN(V67)</f>
        <v>#VALUE!</v>
      </c>
      <c r="W71" s="29"/>
      <c r="X71" s="27"/>
      <c r="Y71" s="1"/>
      <c r="Z71" s="1"/>
      <c r="AA71" s="1"/>
      <c r="AB71" s="1"/>
      <c r="AC71" s="1"/>
      <c r="AD71" s="111"/>
      <c r="AE71" s="100" t="s">
        <v>118</v>
      </c>
      <c r="AF71" s="98">
        <f>ATAN(AF67)</f>
        <v>0.60574223657441673</v>
      </c>
      <c r="AG71" s="97"/>
      <c r="AH71" s="92"/>
      <c r="AI71" s="93"/>
      <c r="AJ71" s="93"/>
      <c r="AK71" s="93"/>
      <c r="AL71" s="93"/>
      <c r="AM71" s="112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</row>
    <row r="72" spans="1:87" ht="18" customHeight="1" thickBot="1" x14ac:dyDescent="0.4">
      <c r="A72" s="277" t="s">
        <v>119</v>
      </c>
      <c r="B72" s="568" t="s">
        <v>120</v>
      </c>
      <c r="C72" s="568"/>
      <c r="D72" s="568"/>
      <c r="E72" s="568"/>
      <c r="F72" s="182"/>
      <c r="G72" s="182"/>
      <c r="H72" s="379"/>
      <c r="I72" s="378"/>
      <c r="J72" s="378"/>
      <c r="K72" s="378"/>
      <c r="M72" s="329"/>
      <c r="O72" s="9" t="s">
        <v>121</v>
      </c>
      <c r="P72" s="54"/>
      <c r="Q72" s="10"/>
      <c r="R72" s="437">
        <f>TAN(R71*$R$89/180)</f>
        <v>0</v>
      </c>
      <c r="S72" s="438"/>
      <c r="T72" s="1"/>
      <c r="U72" s="434" t="s">
        <v>122</v>
      </c>
      <c r="V72" s="70" t="e">
        <f>2*V70/(V70+1)*EXP((PI()/2+V71)*V67)</f>
        <v>#VALUE!</v>
      </c>
      <c r="W72" s="29"/>
      <c r="X72" s="27"/>
      <c r="Y72" s="1"/>
      <c r="Z72" s="1"/>
      <c r="AA72" s="1"/>
      <c r="AB72" s="1"/>
      <c r="AC72" s="1"/>
      <c r="AD72" s="111"/>
      <c r="AE72" s="431" t="s">
        <v>122</v>
      </c>
      <c r="AF72" s="101">
        <f>2*AF70/(AF70+1)*EXP((PI()/2+AF71)*AF67)</f>
        <v>7.0861800119453484</v>
      </c>
      <c r="AG72" s="97"/>
      <c r="AH72" s="92"/>
      <c r="AI72" s="93"/>
      <c r="AJ72" s="93"/>
      <c r="AK72" s="93"/>
      <c r="AL72" s="93"/>
      <c r="AM72" s="112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</row>
    <row r="73" spans="1:87" ht="18" customHeight="1" thickBot="1" x14ac:dyDescent="0.4">
      <c r="A73" s="277" t="s">
        <v>123</v>
      </c>
      <c r="B73" s="184">
        <f>IF(murhøyde_inkl._fotdybde&gt;5,spesifikk_tyngde_bak_muren*5+Nyttelast_bak_mur*B6,(1-(murhøyde_inkl._fotdybde/5))*Boggilast_bak_mur__qQk*C6+Nyttelast_bak_mur*B6+spesifikk_tyngde_bak_muren*murhøyde_inkl._fotdybde)</f>
        <v>0</v>
      </c>
      <c r="C73" s="248" t="s">
        <v>23</v>
      </c>
      <c r="D73" s="285">
        <f>IF(murhøyde_inkl._fotdybde&gt;5,5,murhøyde_inkl._fotdybde)</f>
        <v>0</v>
      </c>
      <c r="E73" s="246" t="s">
        <v>38</v>
      </c>
      <c r="F73" s="182"/>
      <c r="G73" s="182"/>
      <c r="H73" s="379"/>
      <c r="I73" s="378"/>
      <c r="J73" s="378"/>
      <c r="K73" s="378"/>
      <c r="M73" s="329"/>
      <c r="O73" s="39" t="s">
        <v>124</v>
      </c>
      <c r="P73" s="57"/>
      <c r="Q73" s="10"/>
      <c r="R73" s="435">
        <f>H9</f>
        <v>0</v>
      </c>
      <c r="S73" s="436"/>
      <c r="T73" s="1"/>
      <c r="U73" s="434" t="s">
        <v>125</v>
      </c>
      <c r="V73" s="70" t="e">
        <f>2*(1-V68)*V67</f>
        <v>#VALUE!</v>
      </c>
      <c r="W73" s="31"/>
      <c r="X73" s="32"/>
      <c r="Y73" s="33"/>
      <c r="Z73" s="1"/>
      <c r="AA73" s="1"/>
      <c r="AB73" s="1"/>
      <c r="AC73" s="1"/>
      <c r="AD73" s="111"/>
      <c r="AE73" s="431" t="s">
        <v>125</v>
      </c>
      <c r="AF73" s="101">
        <f>2*(1-AF68)*AF67</f>
        <v>0.75354880000000002</v>
      </c>
      <c r="AG73" s="102"/>
      <c r="AH73" s="103"/>
      <c r="AI73" s="104"/>
      <c r="AJ73" s="93"/>
      <c r="AK73" s="93"/>
      <c r="AL73" s="93"/>
      <c r="AM73" s="112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</row>
    <row r="74" spans="1:87" ht="18" customHeight="1" thickBot="1" x14ac:dyDescent="0.4">
      <c r="A74" s="277" t="s">
        <v>126</v>
      </c>
      <c r="B74" s="184">
        <f>IF(murhøyde_inkl._fotdybde&gt;5,murhøyde_inkl._fotdybde*spesifikk_tyngde_bak_muren+Nyttelast_bak_mur*B6,B73)</f>
        <v>0</v>
      </c>
      <c r="C74" s="248" t="s">
        <v>23</v>
      </c>
      <c r="D74" s="285">
        <f>IF(murhøyde_inkl._fotdybde&gt;5,murhøyde_inkl._fotdybde,D73)</f>
        <v>0</v>
      </c>
      <c r="E74" s="246" t="s">
        <v>38</v>
      </c>
      <c r="F74" s="182"/>
      <c r="G74" s="182"/>
      <c r="H74" s="379"/>
      <c r="I74" s="378"/>
      <c r="J74" s="378"/>
      <c r="K74" s="378"/>
      <c r="M74" s="329"/>
      <c r="O74" s="34" t="s">
        <v>127</v>
      </c>
      <c r="P74" s="35"/>
      <c r="Q74" s="154"/>
      <c r="R74" s="439">
        <f>TAN(R73*$R$89/180)</f>
        <v>0</v>
      </c>
      <c r="S74" s="440"/>
      <c r="T74" s="1"/>
      <c r="U74" s="441" t="s">
        <v>128</v>
      </c>
      <c r="V74" s="441" t="s">
        <v>129</v>
      </c>
      <c r="W74" s="442" t="s">
        <v>130</v>
      </c>
      <c r="X74" s="441" t="s">
        <v>131</v>
      </c>
      <c r="Y74" s="443" t="s">
        <v>132</v>
      </c>
      <c r="Z74" s="441" t="s">
        <v>133</v>
      </c>
      <c r="AA74" s="441" t="s">
        <v>134</v>
      </c>
      <c r="AB74" s="444" t="s">
        <v>135</v>
      </c>
      <c r="AC74" s="1"/>
      <c r="AD74" s="111"/>
      <c r="AE74" s="445" t="s">
        <v>128</v>
      </c>
      <c r="AF74" s="445" t="s">
        <v>129</v>
      </c>
      <c r="AG74" s="446" t="s">
        <v>130</v>
      </c>
      <c r="AH74" s="445" t="s">
        <v>131</v>
      </c>
      <c r="AI74" s="447" t="s">
        <v>132</v>
      </c>
      <c r="AJ74" s="445" t="s">
        <v>133</v>
      </c>
      <c r="AK74" s="445" t="s">
        <v>134</v>
      </c>
      <c r="AL74" s="448" t="s">
        <v>135</v>
      </c>
      <c r="AM74" s="112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</row>
    <row r="75" spans="1:87" ht="18" customHeight="1" thickBot="1" x14ac:dyDescent="0.4">
      <c r="A75" s="182"/>
      <c r="B75" s="182"/>
      <c r="C75" s="248"/>
      <c r="D75" s="182"/>
      <c r="E75" s="182"/>
      <c r="F75" s="265"/>
      <c r="G75" s="265"/>
      <c r="H75" s="381"/>
      <c r="I75" s="380"/>
      <c r="J75" s="380"/>
      <c r="K75" s="380"/>
      <c r="L75" s="382"/>
      <c r="M75" s="383"/>
      <c r="O75" s="241" t="s">
        <v>136</v>
      </c>
      <c r="P75" s="449"/>
      <c r="Q75" s="450"/>
      <c r="R75" s="451" t="str">
        <f>IF(materialfaktor&lt;&gt;0,K_A_korrigert*(p_gamma+attraksjon_bak_mur)-attraksjon_bak_mur, " ")</f>
        <v xml:space="preserve"> </v>
      </c>
      <c r="S75" s="155" t="s">
        <v>137</v>
      </c>
      <c r="T75" s="452">
        <v>1</v>
      </c>
      <c r="U75" s="62" t="e">
        <f>V73</f>
        <v>#VALUE!</v>
      </c>
      <c r="V75" s="62" t="e">
        <f t="shared" ref="V75:V94" si="0">U75-V$67</f>
        <v>#VALUE!</v>
      </c>
      <c r="W75" s="62" t="e">
        <f>ATAN(V75)</f>
        <v>#VALUE!</v>
      </c>
      <c r="X75" s="62" t="e">
        <f t="shared" ref="X75:X94" si="1">(1+V75*V$67)*V$72*EXP(2*W75*V$67)-1</f>
        <v>#VALUE!</v>
      </c>
      <c r="Y75" s="62" t="e">
        <f t="shared" ref="Y75:Y94" si="2">(1-V$68)^2+(1-V$68)/X75</f>
        <v>#VALUE!</v>
      </c>
      <c r="Z75" s="62" t="e">
        <f t="shared" ref="Z75:Z94" si="3">(1-V$68+SQRT(Y75))*V$67</f>
        <v>#VALUE!</v>
      </c>
      <c r="AA75" s="63" t="e">
        <f>(U75-Z75)^2</f>
        <v>#VALUE!</v>
      </c>
      <c r="AB75" s="60" t="e">
        <f t="shared" ref="AB75:AB94" si="4">IF(AA75&lt;0.000001,(2*X75*Z75+V$67)/(1+(V75)^2),1000)</f>
        <v>#VALUE!</v>
      </c>
      <c r="AC75" s="1"/>
      <c r="AD75" s="453">
        <v>1</v>
      </c>
      <c r="AE75" s="101">
        <f>AF73</f>
        <v>0.75354880000000002</v>
      </c>
      <c r="AF75" s="101">
        <f t="shared" ref="AF75:AF94" si="5">AE75-AF$67</f>
        <v>6.0948800000000025E-2</v>
      </c>
      <c r="AG75" s="101">
        <f>ATAN(AF75)</f>
        <v>6.0873497788499376E-2</v>
      </c>
      <c r="AH75" s="101">
        <f t="shared" ref="AH75:AH94" si="6">(1+AF75*AF$67)*AF$72*EXP(2*AG75*AF$67)-1</f>
        <v>7.0350630769151028</v>
      </c>
      <c r="AI75" s="101">
        <f t="shared" ref="AI75:AI94" si="7">(1-AF$68)^2+(1-AF$68)/AH75</f>
        <v>0.3732629541512833</v>
      </c>
      <c r="AJ75" s="101">
        <f t="shared" ref="AJ75:AJ94" si="8">(1-AF$68+SQRT(AI75))*AF$67</f>
        <v>0.79992009974004319</v>
      </c>
      <c r="AK75" s="105">
        <f>(AE75-AJ75)^2</f>
        <v>2.1502974395809279E-3</v>
      </c>
      <c r="AL75" s="106">
        <f t="shared" ref="AL75:AL94" si="9">IF(AK75&lt;0.000001,(2*AH75*AJ75+AF$67)/(1+(AF75)^2),1000)</f>
        <v>1000</v>
      </c>
      <c r="AM75" s="112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</row>
    <row r="76" spans="1:87" ht="18" customHeight="1" thickBot="1" x14ac:dyDescent="0.25">
      <c r="A76" s="550" t="s">
        <v>248</v>
      </c>
      <c r="B76" s="551"/>
      <c r="C76" s="551"/>
      <c r="D76" s="551"/>
      <c r="E76" s="551"/>
      <c r="F76" s="551"/>
      <c r="G76" s="551"/>
      <c r="H76" s="551"/>
      <c r="I76" s="551"/>
      <c r="J76" s="551"/>
      <c r="K76" s="551"/>
      <c r="L76" s="551"/>
      <c r="M76" s="552"/>
      <c r="O76" s="454" t="s">
        <v>138</v>
      </c>
      <c r="P76" s="455"/>
      <c r="Q76" s="456"/>
      <c r="R76" s="77" t="str">
        <f>IF(B24&lt;&gt;0,IF(R75&lt;0,0,R75)," ")</f>
        <v xml:space="preserve"> </v>
      </c>
      <c r="S76" s="155" t="s">
        <v>137</v>
      </c>
      <c r="T76" s="452">
        <v>2</v>
      </c>
      <c r="U76" s="62" t="e">
        <f>Z75</f>
        <v>#VALUE!</v>
      </c>
      <c r="V76" s="62" t="e">
        <f t="shared" si="0"/>
        <v>#VALUE!</v>
      </c>
      <c r="W76" s="62" t="e">
        <f t="shared" ref="W76:W94" si="10">ATAN(V76)</f>
        <v>#VALUE!</v>
      </c>
      <c r="X76" s="62" t="e">
        <f t="shared" si="1"/>
        <v>#VALUE!</v>
      </c>
      <c r="Y76" s="62" t="e">
        <f t="shared" si="2"/>
        <v>#VALUE!</v>
      </c>
      <c r="Z76" s="62" t="e">
        <f t="shared" si="3"/>
        <v>#VALUE!</v>
      </c>
      <c r="AA76" s="63" t="e">
        <f t="shared" ref="AA76:AA94" si="11">(U76-Z76)^2</f>
        <v>#VALUE!</v>
      </c>
      <c r="AB76" s="60" t="e">
        <f t="shared" si="4"/>
        <v>#VALUE!</v>
      </c>
      <c r="AC76" s="1"/>
      <c r="AD76" s="453">
        <v>2</v>
      </c>
      <c r="AE76" s="101">
        <f>AJ75</f>
        <v>0.79992009974004319</v>
      </c>
      <c r="AF76" s="101">
        <f t="shared" si="5"/>
        <v>0.1073200997400432</v>
      </c>
      <c r="AG76" s="101">
        <f t="shared" ref="AG76:AG94" si="12">ATAN(AF76)</f>
        <v>0.10691090037412304</v>
      </c>
      <c r="AH76" s="101">
        <f t="shared" si="6"/>
        <v>7.8280708025798127</v>
      </c>
      <c r="AI76" s="101">
        <f t="shared" si="7"/>
        <v>0.36542949510491396</v>
      </c>
      <c r="AJ76" s="101">
        <f t="shared" si="8"/>
        <v>0.7954563962110538</v>
      </c>
      <c r="AK76" s="105">
        <f t="shared" ref="AK76:AK94" si="13">(AE76-AJ76)^2</f>
        <v>1.9924649194712366E-5</v>
      </c>
      <c r="AL76" s="106">
        <f t="shared" si="9"/>
        <v>1000</v>
      </c>
      <c r="AM76" s="112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</row>
    <row r="77" spans="1:87" ht="18" customHeight="1" x14ac:dyDescent="0.5">
      <c r="A77" s="266" t="s">
        <v>139</v>
      </c>
      <c r="B77" s="182"/>
      <c r="C77" s="182"/>
      <c r="D77" s="182"/>
      <c r="E77" s="182"/>
      <c r="F77" s="182"/>
      <c r="G77" s="182"/>
      <c r="H77" s="249" t="s">
        <v>140</v>
      </c>
      <c r="I77" s="250"/>
      <c r="J77" s="286">
        <f>B8</f>
        <v>0</v>
      </c>
      <c r="K77" s="249" t="s">
        <v>68</v>
      </c>
      <c r="L77" s="182"/>
      <c r="M77" s="267"/>
      <c r="O77" s="88" t="s">
        <v>141</v>
      </c>
      <c r="P77" s="457"/>
      <c r="Q77" s="458"/>
      <c r="R77" s="459" t="str">
        <f>IF(B24&lt;&gt;0,+(B36*(B4+H7*B14+H6)-H6)*B14/2," ")</f>
        <v xml:space="preserve"> </v>
      </c>
      <c r="S77" s="155" t="s">
        <v>137</v>
      </c>
      <c r="T77" s="452">
        <v>3</v>
      </c>
      <c r="U77" s="62" t="e">
        <f>Z76</f>
        <v>#VALUE!</v>
      </c>
      <c r="V77" s="62" t="e">
        <f t="shared" si="0"/>
        <v>#VALUE!</v>
      </c>
      <c r="W77" s="62" t="e">
        <f t="shared" si="10"/>
        <v>#VALUE!</v>
      </c>
      <c r="X77" s="62" t="e">
        <f t="shared" si="1"/>
        <v>#VALUE!</v>
      </c>
      <c r="Y77" s="62" t="e">
        <f t="shared" si="2"/>
        <v>#VALUE!</v>
      </c>
      <c r="Z77" s="62" t="e">
        <f t="shared" si="3"/>
        <v>#VALUE!</v>
      </c>
      <c r="AA77" s="63" t="e">
        <f t="shared" si="11"/>
        <v>#VALUE!</v>
      </c>
      <c r="AB77" s="60" t="e">
        <f t="shared" si="4"/>
        <v>#VALUE!</v>
      </c>
      <c r="AC77" s="1"/>
      <c r="AD77" s="453">
        <v>3</v>
      </c>
      <c r="AE77" s="101">
        <f>AJ76</f>
        <v>0.7954563962110538</v>
      </c>
      <c r="AF77" s="101">
        <f t="shared" si="5"/>
        <v>0.1028563962110538</v>
      </c>
      <c r="AG77" s="101">
        <f t="shared" si="12"/>
        <v>0.10249596042072075</v>
      </c>
      <c r="AH77" s="101">
        <f t="shared" si="6"/>
        <v>7.7489974860902571</v>
      </c>
      <c r="AI77" s="101">
        <f t="shared" si="7"/>
        <v>0.36613862956292098</v>
      </c>
      <c r="AJ77" s="101">
        <f t="shared" si="8"/>
        <v>0.79586243613908403</v>
      </c>
      <c r="AK77" s="105">
        <f t="shared" si="13"/>
        <v>1.6486842315479674E-7</v>
      </c>
      <c r="AL77" s="106">
        <f t="shared" si="9"/>
        <v>12.890497808364751</v>
      </c>
      <c r="AM77" s="112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</row>
    <row r="78" spans="1:87" ht="18" customHeight="1" x14ac:dyDescent="0.5">
      <c r="A78" s="266" t="s">
        <v>142</v>
      </c>
      <c r="B78" s="182" t="s">
        <v>143</v>
      </c>
      <c r="C78" s="248"/>
      <c r="D78" s="284" t="str">
        <f>IF(materialfaktor&lt;&gt;0,K_A_korrigert*((Nyttelast_bak_mur*Lastfaktor__γQ+Boggilast_bak_mur__qQk*C6)+attraksjon_bak_mur)+attraksjon_bak_mur*((R97*R87/(R87-R88))-1), " ")</f>
        <v xml:space="preserve"> </v>
      </c>
      <c r="E78" s="182"/>
      <c r="F78" s="182"/>
      <c r="G78" s="182"/>
      <c r="H78" s="249" t="s">
        <v>144</v>
      </c>
      <c r="I78" s="251"/>
      <c r="J78" s="287">
        <f>B10+murhøyde_inkl._fotdybde</f>
        <v>0</v>
      </c>
      <c r="K78" s="252" t="s">
        <v>38</v>
      </c>
      <c r="L78" s="183"/>
      <c r="M78" s="268"/>
      <c r="O78" s="88" t="s">
        <v>145</v>
      </c>
      <c r="P78" s="457"/>
      <c r="Q78" s="458"/>
      <c r="R78" s="460" t="str">
        <f>IF(B24&lt;&gt;0,+((B36*(B4+H7*B14+H6)-H6)*B14^2/6)/R77," ")</f>
        <v xml:space="preserve"> </v>
      </c>
      <c r="S78" s="155" t="s">
        <v>137</v>
      </c>
      <c r="T78" s="452">
        <v>4</v>
      </c>
      <c r="U78" s="62" t="e">
        <f t="shared" ref="U78:U94" si="14">Z77</f>
        <v>#VALUE!</v>
      </c>
      <c r="V78" s="62" t="e">
        <f t="shared" si="0"/>
        <v>#VALUE!</v>
      </c>
      <c r="W78" s="62" t="e">
        <f t="shared" si="10"/>
        <v>#VALUE!</v>
      </c>
      <c r="X78" s="62" t="e">
        <f t="shared" si="1"/>
        <v>#VALUE!</v>
      </c>
      <c r="Y78" s="62" t="e">
        <f t="shared" si="2"/>
        <v>#VALUE!</v>
      </c>
      <c r="Z78" s="62" t="e">
        <f t="shared" si="3"/>
        <v>#VALUE!</v>
      </c>
      <c r="AA78" s="63" t="e">
        <f t="shared" si="11"/>
        <v>#VALUE!</v>
      </c>
      <c r="AB78" s="60" t="e">
        <f t="shared" si="4"/>
        <v>#VALUE!</v>
      </c>
      <c r="AC78" s="1"/>
      <c r="AD78" s="453">
        <v>4</v>
      </c>
      <c r="AE78" s="101">
        <f t="shared" ref="AE78:AE94" si="15">AJ77</f>
        <v>0.79586243613908403</v>
      </c>
      <c r="AF78" s="101">
        <f t="shared" si="5"/>
        <v>0.10326243613908404</v>
      </c>
      <c r="AG78" s="101">
        <f t="shared" si="12"/>
        <v>0.102897733018961</v>
      </c>
      <c r="AH78" s="101">
        <f t="shared" si="6"/>
        <v>7.7561660479480405</v>
      </c>
      <c r="AI78" s="101">
        <f t="shared" si="7"/>
        <v>0.36607374545787608</v>
      </c>
      <c r="AJ78" s="101">
        <f t="shared" si="8"/>
        <v>0.79582530081005309</v>
      </c>
      <c r="AK78" s="105">
        <f t="shared" si="13"/>
        <v>1.3790326622358098E-9</v>
      </c>
      <c r="AL78" s="106">
        <f t="shared" si="9"/>
        <v>12.900150366846422</v>
      </c>
      <c r="AM78" s="112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</row>
    <row r="79" spans="1:87" ht="18" customHeight="1" x14ac:dyDescent="0.35">
      <c r="A79" s="269" t="s">
        <v>146</v>
      </c>
      <c r="B79" s="181"/>
      <c r="C79" s="247"/>
      <c r="D79" s="181"/>
      <c r="E79" s="181"/>
      <c r="F79" s="181"/>
      <c r="G79" s="181"/>
      <c r="H79" s="253"/>
      <c r="I79" s="254"/>
      <c r="J79" s="255"/>
      <c r="K79" s="254"/>
      <c r="L79" s="254"/>
      <c r="M79" s="270"/>
      <c r="O79" s="89" t="s">
        <v>147</v>
      </c>
      <c r="P79" s="461"/>
      <c r="Q79" s="462"/>
      <c r="R79" s="463" t="str">
        <f>IF(B24&lt;&gt;0,+(B36*H7*B14^2)/2+B14*(B36*(B4+H6)-H6)," ")</f>
        <v xml:space="preserve"> </v>
      </c>
      <c r="S79" s="155" t="s">
        <v>137</v>
      </c>
      <c r="T79" s="452">
        <v>5</v>
      </c>
      <c r="U79" s="62" t="e">
        <f t="shared" si="14"/>
        <v>#VALUE!</v>
      </c>
      <c r="V79" s="62" t="e">
        <f t="shared" si="0"/>
        <v>#VALUE!</v>
      </c>
      <c r="W79" s="62" t="e">
        <f t="shared" si="10"/>
        <v>#VALUE!</v>
      </c>
      <c r="X79" s="62" t="e">
        <f t="shared" si="1"/>
        <v>#VALUE!</v>
      </c>
      <c r="Y79" s="62" t="e">
        <f t="shared" si="2"/>
        <v>#VALUE!</v>
      </c>
      <c r="Z79" s="62" t="e">
        <f t="shared" si="3"/>
        <v>#VALUE!</v>
      </c>
      <c r="AA79" s="63" t="e">
        <f t="shared" si="11"/>
        <v>#VALUE!</v>
      </c>
      <c r="AB79" s="60" t="e">
        <f t="shared" si="4"/>
        <v>#VALUE!</v>
      </c>
      <c r="AC79" s="1"/>
      <c r="AD79" s="453">
        <v>5</v>
      </c>
      <c r="AE79" s="101">
        <f t="shared" si="15"/>
        <v>0.79582530081005309</v>
      </c>
      <c r="AF79" s="101">
        <f t="shared" si="5"/>
        <v>0.1032253008100531</v>
      </c>
      <c r="AG79" s="101">
        <f t="shared" si="12"/>
        <v>0.10286098935157478</v>
      </c>
      <c r="AH79" s="101">
        <f t="shared" si="6"/>
        <v>7.7555102282764885</v>
      </c>
      <c r="AI79" s="101">
        <f t="shared" si="7"/>
        <v>0.36607967642977035</v>
      </c>
      <c r="AJ79" s="101">
        <f t="shared" si="8"/>
        <v>0.79582869543897583</v>
      </c>
      <c r="AK79" s="105">
        <f t="shared" si="13"/>
        <v>1.1523505523083377E-11</v>
      </c>
      <c r="AL79" s="106">
        <f t="shared" si="9"/>
        <v>12.899267510695799</v>
      </c>
      <c r="AM79" s="112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</row>
    <row r="80" spans="1:87" ht="18" customHeight="1" thickBot="1" x14ac:dyDescent="0.55000000000000004">
      <c r="A80" s="266" t="s">
        <v>148</v>
      </c>
      <c r="B80" s="182"/>
      <c r="C80" s="248"/>
      <c r="D80" s="182"/>
      <c r="E80" s="182"/>
      <c r="F80" s="182"/>
      <c r="G80" s="182"/>
      <c r="H80" s="256"/>
      <c r="I80" s="257"/>
      <c r="J80" s="258"/>
      <c r="K80" s="257"/>
      <c r="L80" s="257"/>
      <c r="M80" s="271"/>
      <c r="O80" s="90" t="s">
        <v>149</v>
      </c>
      <c r="P80" s="464"/>
      <c r="Q80" s="465"/>
      <c r="R80" s="466" t="str">
        <f>IF(B24&lt;&gt;0,(B36*H7*B14^3/6+(B36*(B4+H6)-H6)*B14^2/2)/R79," ")</f>
        <v xml:space="preserve"> </v>
      </c>
      <c r="S80" s="155" t="s">
        <v>137</v>
      </c>
      <c r="T80" s="452">
        <v>6</v>
      </c>
      <c r="U80" s="62" t="e">
        <f t="shared" si="14"/>
        <v>#VALUE!</v>
      </c>
      <c r="V80" s="62" t="e">
        <f t="shared" si="0"/>
        <v>#VALUE!</v>
      </c>
      <c r="W80" s="62" t="e">
        <f t="shared" si="10"/>
        <v>#VALUE!</v>
      </c>
      <c r="X80" s="62" t="e">
        <f t="shared" si="1"/>
        <v>#VALUE!</v>
      </c>
      <c r="Y80" s="62" t="e">
        <f t="shared" si="2"/>
        <v>#VALUE!</v>
      </c>
      <c r="Z80" s="62" t="e">
        <f t="shared" si="3"/>
        <v>#VALUE!</v>
      </c>
      <c r="AA80" s="63" t="e">
        <f t="shared" si="11"/>
        <v>#VALUE!</v>
      </c>
      <c r="AB80" s="60" t="e">
        <f t="shared" si="4"/>
        <v>#VALUE!</v>
      </c>
      <c r="AC80" s="1"/>
      <c r="AD80" s="453">
        <v>6</v>
      </c>
      <c r="AE80" s="101">
        <f t="shared" si="15"/>
        <v>0.79582869543897583</v>
      </c>
      <c r="AF80" s="101">
        <f t="shared" si="5"/>
        <v>0.10322869543897584</v>
      </c>
      <c r="AG80" s="101">
        <f t="shared" si="12"/>
        <v>0.10286434818934982</v>
      </c>
      <c r="AH80" s="101">
        <f t="shared" si="6"/>
        <v>7.7555701766255307</v>
      </c>
      <c r="AI80" s="101">
        <f t="shared" si="7"/>
        <v>0.36607913423912519</v>
      </c>
      <c r="AJ80" s="101">
        <f t="shared" si="8"/>
        <v>0.79582838511390519</v>
      </c>
      <c r="AK80" s="105">
        <f t="shared" si="13"/>
        <v>9.6301649467992909E-14</v>
      </c>
      <c r="AL80" s="106">
        <f t="shared" si="9"/>
        <v>12.89934821418891</v>
      </c>
      <c r="AM80" s="112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</row>
    <row r="81" spans="1:90" ht="18" customHeight="1" x14ac:dyDescent="0.35">
      <c r="A81" s="347"/>
      <c r="B81" s="549"/>
      <c r="C81" s="549"/>
      <c r="D81" s="348"/>
      <c r="E81" s="348"/>
      <c r="F81" s="349"/>
      <c r="G81" s="348"/>
      <c r="H81" s="256"/>
      <c r="I81" s="257"/>
      <c r="J81" s="258"/>
      <c r="K81" s="257"/>
      <c r="L81" s="257"/>
      <c r="M81" s="271"/>
      <c r="O81" s="8" t="s">
        <v>150</v>
      </c>
      <c r="P81" s="8"/>
      <c r="Q81" s="8"/>
      <c r="R81" s="8" t="e">
        <f>B104</f>
        <v>#VALUE!</v>
      </c>
      <c r="S81" s="155" t="s">
        <v>151</v>
      </c>
      <c r="T81" s="452">
        <v>7</v>
      </c>
      <c r="U81" s="62" t="e">
        <f t="shared" si="14"/>
        <v>#VALUE!</v>
      </c>
      <c r="V81" s="62" t="e">
        <f t="shared" si="0"/>
        <v>#VALUE!</v>
      </c>
      <c r="W81" s="62" t="e">
        <f t="shared" si="10"/>
        <v>#VALUE!</v>
      </c>
      <c r="X81" s="62" t="e">
        <f t="shared" si="1"/>
        <v>#VALUE!</v>
      </c>
      <c r="Y81" s="62" t="e">
        <f t="shared" si="2"/>
        <v>#VALUE!</v>
      </c>
      <c r="Z81" s="62" t="e">
        <f t="shared" si="3"/>
        <v>#VALUE!</v>
      </c>
      <c r="AA81" s="63" t="e">
        <f t="shared" si="11"/>
        <v>#VALUE!</v>
      </c>
      <c r="AB81" s="60" t="e">
        <f t="shared" si="4"/>
        <v>#VALUE!</v>
      </c>
      <c r="AC81" s="1"/>
      <c r="AD81" s="453">
        <v>7</v>
      </c>
      <c r="AE81" s="101">
        <f t="shared" si="15"/>
        <v>0.79582838511390519</v>
      </c>
      <c r="AF81" s="101">
        <f t="shared" si="5"/>
        <v>0.1032283851139052</v>
      </c>
      <c r="AG81" s="101">
        <f t="shared" si="12"/>
        <v>0.1028640411362771</v>
      </c>
      <c r="AH81" s="101">
        <f t="shared" si="6"/>
        <v>7.7555646963435869</v>
      </c>
      <c r="AI81" s="101">
        <f t="shared" si="7"/>
        <v>0.36607918380407201</v>
      </c>
      <c r="AJ81" s="101">
        <f t="shared" si="8"/>
        <v>0.79582841348261801</v>
      </c>
      <c r="AK81" s="105">
        <f t="shared" si="13"/>
        <v>8.0478386725093524E-16</v>
      </c>
      <c r="AL81" s="106">
        <f t="shared" si="9"/>
        <v>12.899340836554497</v>
      </c>
      <c r="AM81" s="112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</row>
    <row r="82" spans="1:90" ht="18" customHeight="1" x14ac:dyDescent="0.35">
      <c r="A82" s="357" t="s">
        <v>67</v>
      </c>
      <c r="B82" s="358" t="e">
        <f>murhøyde_inkl._fotdybde*K_A_korrigert*((2*(attraksjon_bak_mur+Nyttelast_bak_mur*B6)+spesifikk_tyngde_bak_muren*murhøyde_inkl._fotdybde)*0.5)-murhøyde_inkl._fotdybde*attraksjon_bak_mur*(1+R97*R87/(R88-R87))+(K_A_korrigert*C6*Boggilast_bak_mur__qQk*5*0.5)</f>
        <v>#VALUE!</v>
      </c>
      <c r="C82" s="359" t="s">
        <v>68</v>
      </c>
      <c r="D82" s="359" t="s">
        <v>152</v>
      </c>
      <c r="E82" s="360"/>
      <c r="F82" s="358" t="e">
        <f>(1/(6*B82))*(3*murhøyde_inkl._fotdybde^2*(K_A_korrigert*(B6*Nyttelast_bak_mur+(C6*Boggilast_bak_mur__qQk*5/murhøyde_inkl._fotdybde)+(spesifikk_tyngde_bak_muren*murhøyde_inkl._fotdybde/3)+attraksjon_bak_mur)-attraksjon_bak_mur*(1+(R97*R87/(R88-R87))))-K_A_korrigert*C6*Boggilast_bak_mur__qQk*5^2)</f>
        <v>#VALUE!</v>
      </c>
      <c r="G82" s="359" t="s">
        <v>38</v>
      </c>
      <c r="H82" s="256"/>
      <c r="I82" s="257"/>
      <c r="J82" s="258"/>
      <c r="K82" s="257"/>
      <c r="L82" s="257"/>
      <c r="M82" s="271"/>
      <c r="O82" s="8" t="s">
        <v>153</v>
      </c>
      <c r="P82" s="8"/>
      <c r="Q82" s="8"/>
      <c r="R82" s="8" t="e">
        <f>F104</f>
        <v>#VALUE!</v>
      </c>
      <c r="S82" s="155" t="s">
        <v>151</v>
      </c>
      <c r="T82" s="452">
        <v>8</v>
      </c>
      <c r="U82" s="62" t="e">
        <f t="shared" si="14"/>
        <v>#VALUE!</v>
      </c>
      <c r="V82" s="62" t="e">
        <f t="shared" si="0"/>
        <v>#VALUE!</v>
      </c>
      <c r="W82" s="62" t="e">
        <f t="shared" si="10"/>
        <v>#VALUE!</v>
      </c>
      <c r="X82" s="62" t="e">
        <f t="shared" si="1"/>
        <v>#VALUE!</v>
      </c>
      <c r="Y82" s="62" t="e">
        <f t="shared" si="2"/>
        <v>#VALUE!</v>
      </c>
      <c r="Z82" s="62" t="e">
        <f t="shared" si="3"/>
        <v>#VALUE!</v>
      </c>
      <c r="AA82" s="63" t="e">
        <f t="shared" si="11"/>
        <v>#VALUE!</v>
      </c>
      <c r="AB82" s="60" t="e">
        <f t="shared" si="4"/>
        <v>#VALUE!</v>
      </c>
      <c r="AC82" s="1"/>
      <c r="AD82" s="453">
        <v>8</v>
      </c>
      <c r="AE82" s="101">
        <f t="shared" si="15"/>
        <v>0.79582841348261801</v>
      </c>
      <c r="AF82" s="101">
        <f t="shared" si="5"/>
        <v>0.10322841348261802</v>
      </c>
      <c r="AG82" s="101">
        <f t="shared" si="12"/>
        <v>0.1028640692058774</v>
      </c>
      <c r="AH82" s="101">
        <f t="shared" si="6"/>
        <v>7.7555651973295632</v>
      </c>
      <c r="AI82" s="101">
        <f t="shared" si="7"/>
        <v>0.36607917927303524</v>
      </c>
      <c r="AJ82" s="101">
        <f t="shared" si="8"/>
        <v>0.7958284108892596</v>
      </c>
      <c r="AK82" s="105">
        <f t="shared" si="13"/>
        <v>6.7255078785187664E-18</v>
      </c>
      <c r="AL82" s="106">
        <f t="shared" si="9"/>
        <v>12.899341510989153</v>
      </c>
      <c r="AM82" s="112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</row>
    <row r="83" spans="1:90" ht="18" customHeight="1" x14ac:dyDescent="0.35">
      <c r="A83" s="357" t="s">
        <v>154</v>
      </c>
      <c r="B83" s="361" t="e">
        <f>B82+$J$77</f>
        <v>#VALUE!</v>
      </c>
      <c r="C83" s="359" t="s">
        <v>68</v>
      </c>
      <c r="D83" s="359" t="s">
        <v>155</v>
      </c>
      <c r="E83" s="360"/>
      <c r="F83" s="358" t="e">
        <f>($J$77/B83)*$J$78+(B82/B83)*F82</f>
        <v>#VALUE!</v>
      </c>
      <c r="G83" s="359" t="s">
        <v>38</v>
      </c>
      <c r="H83" s="262"/>
      <c r="I83" s="263"/>
      <c r="J83" s="264"/>
      <c r="K83" s="263"/>
      <c r="L83" s="263"/>
      <c r="M83" s="274"/>
      <c r="O83" s="8" t="s">
        <v>156</v>
      </c>
      <c r="P83" s="8"/>
      <c r="Q83" s="8"/>
      <c r="R83" s="405" t="e">
        <f>B105</f>
        <v>#VALUE!</v>
      </c>
      <c r="T83" s="452">
        <v>9</v>
      </c>
      <c r="U83" s="62" t="e">
        <f t="shared" si="14"/>
        <v>#VALUE!</v>
      </c>
      <c r="V83" s="62" t="e">
        <f t="shared" si="0"/>
        <v>#VALUE!</v>
      </c>
      <c r="W83" s="62" t="e">
        <f t="shared" si="10"/>
        <v>#VALUE!</v>
      </c>
      <c r="X83" s="62" t="e">
        <f t="shared" si="1"/>
        <v>#VALUE!</v>
      </c>
      <c r="Y83" s="62" t="e">
        <f t="shared" si="2"/>
        <v>#VALUE!</v>
      </c>
      <c r="Z83" s="62" t="e">
        <f t="shared" si="3"/>
        <v>#VALUE!</v>
      </c>
      <c r="AA83" s="63" t="e">
        <f t="shared" si="11"/>
        <v>#VALUE!</v>
      </c>
      <c r="AB83" s="60" t="e">
        <f t="shared" si="4"/>
        <v>#VALUE!</v>
      </c>
      <c r="AC83" s="1"/>
      <c r="AD83" s="453">
        <v>9</v>
      </c>
      <c r="AE83" s="101">
        <f t="shared" si="15"/>
        <v>0.7958284108892596</v>
      </c>
      <c r="AF83" s="101">
        <f t="shared" si="5"/>
        <v>0.1032284108892596</v>
      </c>
      <c r="AG83" s="101">
        <f t="shared" si="12"/>
        <v>0.10286406663986269</v>
      </c>
      <c r="AH83" s="101">
        <f t="shared" si="6"/>
        <v>7.7555651515313535</v>
      </c>
      <c r="AI83" s="101">
        <f t="shared" si="7"/>
        <v>0.36607917968724513</v>
      </c>
      <c r="AJ83" s="101">
        <f t="shared" si="8"/>
        <v>0.7958284111263344</v>
      </c>
      <c r="AK83" s="105">
        <f t="shared" si="13"/>
        <v>5.6204462801833951E-20</v>
      </c>
      <c r="AL83" s="106">
        <f t="shared" si="9"/>
        <v>12.899341449334935</v>
      </c>
      <c r="AM83" s="112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</row>
    <row r="84" spans="1:90" ht="18" customHeight="1" x14ac:dyDescent="0.35">
      <c r="A84" s="362" t="s">
        <v>69</v>
      </c>
      <c r="B84" s="363" t="e">
        <f>R90*R93*(B82/murhøyde_inkl._fotdybde+attraksjon_bak_mur)*murhøyde_inkl._fotdybde</f>
        <v>#VALUE!</v>
      </c>
      <c r="C84" s="364" t="s">
        <v>68</v>
      </c>
      <c r="D84" s="365"/>
      <c r="E84" s="365"/>
      <c r="F84" s="365"/>
      <c r="G84" s="364"/>
      <c r="H84" s="344"/>
      <c r="I84" s="345"/>
      <c r="J84" s="345"/>
      <c r="K84" s="345"/>
      <c r="L84" s="345"/>
      <c r="M84" s="346"/>
      <c r="O84" s="8" t="s">
        <v>157</v>
      </c>
      <c r="P84" s="8"/>
      <c r="Q84" s="8"/>
      <c r="R84" s="405" t="e">
        <f>F105</f>
        <v>#VALUE!</v>
      </c>
      <c r="T84" s="452">
        <v>10</v>
      </c>
      <c r="U84" s="62" t="e">
        <f t="shared" si="14"/>
        <v>#VALUE!</v>
      </c>
      <c r="V84" s="62" t="e">
        <f t="shared" si="0"/>
        <v>#VALUE!</v>
      </c>
      <c r="W84" s="62" t="e">
        <f t="shared" si="10"/>
        <v>#VALUE!</v>
      </c>
      <c r="X84" s="62" t="e">
        <f t="shared" si="1"/>
        <v>#VALUE!</v>
      </c>
      <c r="Y84" s="62" t="e">
        <f t="shared" si="2"/>
        <v>#VALUE!</v>
      </c>
      <c r="Z84" s="62" t="e">
        <f t="shared" si="3"/>
        <v>#VALUE!</v>
      </c>
      <c r="AA84" s="63" t="e">
        <f t="shared" si="11"/>
        <v>#VALUE!</v>
      </c>
      <c r="AB84" s="60" t="e">
        <f t="shared" si="4"/>
        <v>#VALUE!</v>
      </c>
      <c r="AC84" s="1"/>
      <c r="AD84" s="453">
        <v>10</v>
      </c>
      <c r="AE84" s="101">
        <f t="shared" si="15"/>
        <v>0.7958284111263344</v>
      </c>
      <c r="AF84" s="101">
        <f t="shared" si="5"/>
        <v>0.10322841112633441</v>
      </c>
      <c r="AG84" s="101">
        <f t="shared" si="12"/>
        <v>0.10286406687443785</v>
      </c>
      <c r="AH84" s="101">
        <f t="shared" si="6"/>
        <v>7.7555651557180472</v>
      </c>
      <c r="AI84" s="101">
        <f t="shared" si="7"/>
        <v>0.36607917964937969</v>
      </c>
      <c r="AJ84" s="101">
        <f t="shared" si="8"/>
        <v>0.79582841110466196</v>
      </c>
      <c r="AK84" s="105">
        <f t="shared" si="13"/>
        <v>4.6969472573341728E-22</v>
      </c>
      <c r="AL84" s="106">
        <f t="shared" si="9"/>
        <v>12.899341454971122</v>
      </c>
      <c r="AM84" s="112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</row>
    <row r="85" spans="1:90" ht="18" customHeight="1" x14ac:dyDescent="0.2">
      <c r="A85" s="269" t="s">
        <v>158</v>
      </c>
      <c r="B85" s="181"/>
      <c r="C85" s="247"/>
      <c r="D85" s="181"/>
      <c r="E85" s="181"/>
      <c r="F85" s="182"/>
      <c r="G85" s="182"/>
      <c r="H85" s="253"/>
      <c r="I85" s="254"/>
      <c r="J85" s="255"/>
      <c r="K85" s="254"/>
      <c r="L85" s="254"/>
      <c r="M85" s="270"/>
      <c r="O85" s="8" t="s">
        <v>159</v>
      </c>
      <c r="P85" s="8"/>
      <c r="Q85" s="8"/>
      <c r="R85" s="405" t="e">
        <f>B106</f>
        <v>#VALUE!</v>
      </c>
      <c r="T85" s="452">
        <v>11</v>
      </c>
      <c r="U85" s="62" t="e">
        <f t="shared" si="14"/>
        <v>#VALUE!</v>
      </c>
      <c r="V85" s="62" t="e">
        <f t="shared" si="0"/>
        <v>#VALUE!</v>
      </c>
      <c r="W85" s="62" t="e">
        <f t="shared" si="10"/>
        <v>#VALUE!</v>
      </c>
      <c r="X85" s="62" t="e">
        <f t="shared" si="1"/>
        <v>#VALUE!</v>
      </c>
      <c r="Y85" s="62" t="e">
        <f t="shared" si="2"/>
        <v>#VALUE!</v>
      </c>
      <c r="Z85" s="62" t="e">
        <f t="shared" si="3"/>
        <v>#VALUE!</v>
      </c>
      <c r="AA85" s="63" t="e">
        <f t="shared" si="11"/>
        <v>#VALUE!</v>
      </c>
      <c r="AB85" s="60" t="e">
        <f t="shared" si="4"/>
        <v>#VALUE!</v>
      </c>
      <c r="AC85" s="1"/>
      <c r="AD85" s="453">
        <v>11</v>
      </c>
      <c r="AE85" s="101">
        <f t="shared" si="15"/>
        <v>0.79582841110466196</v>
      </c>
      <c r="AF85" s="101">
        <f t="shared" si="5"/>
        <v>0.10322841110466197</v>
      </c>
      <c r="AG85" s="101">
        <f t="shared" si="12"/>
        <v>0.10286406685299392</v>
      </c>
      <c r="AH85" s="101">
        <f t="shared" si="6"/>
        <v>7.7555651553353187</v>
      </c>
      <c r="AI85" s="101">
        <f t="shared" si="7"/>
        <v>0.3660791796528412</v>
      </c>
      <c r="AJ85" s="101">
        <f t="shared" si="8"/>
        <v>0.79582841110664304</v>
      </c>
      <c r="AK85" s="105">
        <f t="shared" si="13"/>
        <v>3.9246857526074388E-24</v>
      </c>
      <c r="AL85" s="106">
        <f t="shared" si="9"/>
        <v>12.899341454455886</v>
      </c>
      <c r="AM85" s="112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</row>
    <row r="86" spans="1:90" ht="18" customHeight="1" x14ac:dyDescent="0.5">
      <c r="A86" s="266" t="s">
        <v>160</v>
      </c>
      <c r="B86" s="182"/>
      <c r="C86" s="182"/>
      <c r="D86" s="182"/>
      <c r="E86" s="182"/>
      <c r="F86" s="182"/>
      <c r="G86" s="182"/>
      <c r="H86" s="256"/>
      <c r="I86" s="257"/>
      <c r="J86" s="258"/>
      <c r="K86" s="257"/>
      <c r="L86" s="257"/>
      <c r="M86" s="271"/>
      <c r="O86" s="23" t="s">
        <v>161</v>
      </c>
      <c r="P86" s="276"/>
      <c r="Q86" s="276"/>
      <c r="R86" s="322" t="e">
        <f>-murens_bredde_ved_bunn+(1/murens_helning)*murhøyde_inkl._fotdybde+Avstand_fra_murfront_for_vertikal_kraft__xp</f>
        <v>#DIV/0!</v>
      </c>
      <c r="S86" s="429"/>
      <c r="T86" s="452">
        <v>12</v>
      </c>
      <c r="U86" s="62" t="e">
        <f t="shared" si="14"/>
        <v>#VALUE!</v>
      </c>
      <c r="V86" s="62" t="e">
        <f t="shared" si="0"/>
        <v>#VALUE!</v>
      </c>
      <c r="W86" s="62" t="e">
        <f t="shared" si="10"/>
        <v>#VALUE!</v>
      </c>
      <c r="X86" s="62" t="e">
        <f t="shared" si="1"/>
        <v>#VALUE!</v>
      </c>
      <c r="Y86" s="62" t="e">
        <f t="shared" si="2"/>
        <v>#VALUE!</v>
      </c>
      <c r="Z86" s="62" t="e">
        <f t="shared" si="3"/>
        <v>#VALUE!</v>
      </c>
      <c r="AA86" s="63" t="e">
        <f t="shared" si="11"/>
        <v>#VALUE!</v>
      </c>
      <c r="AB86" s="60" t="e">
        <f t="shared" si="4"/>
        <v>#VALUE!</v>
      </c>
      <c r="AC86" s="1"/>
      <c r="AD86" s="453">
        <v>12</v>
      </c>
      <c r="AE86" s="101">
        <f t="shared" si="15"/>
        <v>0.79582841110664304</v>
      </c>
      <c r="AF86" s="101">
        <f t="shared" si="5"/>
        <v>0.10322841110664305</v>
      </c>
      <c r="AG86" s="101">
        <f t="shared" si="12"/>
        <v>0.10286406685495411</v>
      </c>
      <c r="AH86" s="101">
        <f t="shared" si="6"/>
        <v>7.755565155370304</v>
      </c>
      <c r="AI86" s="101">
        <f t="shared" si="7"/>
        <v>0.36607917965252473</v>
      </c>
      <c r="AJ86" s="101">
        <f t="shared" si="8"/>
        <v>0.79582841110646185</v>
      </c>
      <c r="AK86" s="105">
        <f t="shared" si="13"/>
        <v>3.2829235431677627E-26</v>
      </c>
      <c r="AL86" s="106">
        <f t="shared" si="9"/>
        <v>12.899341454502981</v>
      </c>
      <c r="AM86" s="112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</row>
    <row r="87" spans="1:90" ht="18" customHeight="1" x14ac:dyDescent="0.3">
      <c r="A87" s="366" t="s">
        <v>162</v>
      </c>
      <c r="B87" s="367" t="e">
        <f>(attraksjon_bak_mur*(R97*R87/(R88-R87)+1)-K_A_korrigert*(attraksjon_bak_mur+(C6*Boggilast_bak_mur__qQk+B6*Nyttelast_bak_mur)))/(K_A_korrigert*(spesifikk_tyngde_bak_muren-(C6*Boggilast_bak_mur__qQk/5)))</f>
        <v>#VALUE!</v>
      </c>
      <c r="C87" s="349" t="s">
        <v>38</v>
      </c>
      <c r="D87" s="348"/>
      <c r="E87" s="348"/>
      <c r="F87" s="348"/>
      <c r="G87" s="348"/>
      <c r="H87" s="256"/>
      <c r="I87" s="257"/>
      <c r="J87" s="258"/>
      <c r="K87" s="257"/>
      <c r="L87" s="257"/>
      <c r="M87" s="271"/>
      <c r="O87" s="467" t="s">
        <v>163</v>
      </c>
      <c r="P87" s="468"/>
      <c r="R87" s="469">
        <f>IF(B7&lt;&gt;0,1/(B7*B27),0)</f>
        <v>0</v>
      </c>
      <c r="S87" s="470"/>
      <c r="T87" s="452">
        <v>13</v>
      </c>
      <c r="U87" s="62" t="e">
        <f t="shared" si="14"/>
        <v>#VALUE!</v>
      </c>
      <c r="V87" s="62" t="e">
        <f t="shared" si="0"/>
        <v>#VALUE!</v>
      </c>
      <c r="W87" s="62" t="e">
        <f t="shared" si="10"/>
        <v>#VALUE!</v>
      </c>
      <c r="X87" s="62" t="e">
        <f t="shared" si="1"/>
        <v>#VALUE!</v>
      </c>
      <c r="Y87" s="62" t="e">
        <f t="shared" si="2"/>
        <v>#VALUE!</v>
      </c>
      <c r="Z87" s="62" t="e">
        <f t="shared" si="3"/>
        <v>#VALUE!</v>
      </c>
      <c r="AA87" s="63" t="e">
        <f t="shared" si="11"/>
        <v>#VALUE!</v>
      </c>
      <c r="AB87" s="60" t="e">
        <f t="shared" si="4"/>
        <v>#VALUE!</v>
      </c>
      <c r="AC87" s="1"/>
      <c r="AD87" s="453">
        <v>13</v>
      </c>
      <c r="AE87" s="101">
        <f t="shared" si="15"/>
        <v>0.79582841110646185</v>
      </c>
      <c r="AF87" s="101">
        <f t="shared" si="5"/>
        <v>0.10322841110646186</v>
      </c>
      <c r="AG87" s="101">
        <f t="shared" si="12"/>
        <v>0.10286406685477482</v>
      </c>
      <c r="AH87" s="101">
        <f t="shared" si="6"/>
        <v>7.755565155367103</v>
      </c>
      <c r="AI87" s="101">
        <f t="shared" si="7"/>
        <v>0.36607917965255371</v>
      </c>
      <c r="AJ87" s="101">
        <f t="shared" si="8"/>
        <v>0.79582841110647851</v>
      </c>
      <c r="AK87" s="105">
        <f t="shared" si="13"/>
        <v>2.7733391199176196E-28</v>
      </c>
      <c r="AL87" s="106">
        <f t="shared" si="9"/>
        <v>12.899341454498673</v>
      </c>
      <c r="AM87" s="112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</row>
    <row r="88" spans="1:90" ht="18" customHeight="1" x14ac:dyDescent="0.35">
      <c r="A88" s="357" t="s">
        <v>67</v>
      </c>
      <c r="B88" s="358" t="e">
        <f>0.5*((K_A_korrigert*(attraksjon_bak_mur+Nyttelast_bak_mur*B6+spesifikk_tyngde_bak_muren*murhøyde_inkl._fotdybde)-attraksjon_bak_mur*(R97*R87/(R88-R87)+1))*(murhøyde_inkl._fotdybde-5)-(attraksjon_bak_mur*(R97*R87/(R88-R87)+1)-K_A_korrigert*(attraksjon_bak_mur+Nyttelast_bak_mur*B6+spesifikk_tyngde_bak_muren*5))*(murhøyde_inkl._fotdybde-B87))</f>
        <v>#VALUE!</v>
      </c>
      <c r="C88" s="359" t="s">
        <v>68</v>
      </c>
      <c r="D88" s="359" t="s">
        <v>152</v>
      </c>
      <c r="E88" s="360"/>
      <c r="F88" s="358" t="e">
        <f>(1/(6*B88))*((K_A_korrigert*(attraksjon_bak_mur+Nyttelast_bak_mur*B6+spesifikk_tyngde_bak_muren*murhøyde_inkl._fotdybde)-attraksjon_bak_mur*(R97*R87/(R88-R87)+1))*(murhøyde_inkl._fotdybde-5)^2+(attraksjon_bak_mur*(R97*R87/(R88-R87)+1)-K_A_korrigert*(attraksjon_bak_mur+B6*Nyttelast_bak_mur+spesifikk_tyngde_bak_muren*5))*(murhøyde_inkl._fotdybde-B87)*(B87-2*murhøyde_inkl._fotdybde+5))</f>
        <v>#VALUE!</v>
      </c>
      <c r="G88" s="359" t="s">
        <v>38</v>
      </c>
      <c r="H88" s="256"/>
      <c r="I88" s="257"/>
      <c r="J88" s="258"/>
      <c r="K88" s="257"/>
      <c r="L88" s="257"/>
      <c r="M88" s="271"/>
      <c r="O88" s="275" t="s">
        <v>164</v>
      </c>
      <c r="P88" s="276"/>
      <c r="Q88" s="276"/>
      <c r="R88" s="323" t="e">
        <f>1+(1/SIN(ATAN(tanro_mob._friksjonsvinkel_bak_mur)))*SQRT((1-R87)/(1+R90))</f>
        <v>#VALUE!</v>
      </c>
      <c r="S88" s="471"/>
      <c r="T88" s="452">
        <v>14</v>
      </c>
      <c r="U88" s="62" t="e">
        <f t="shared" si="14"/>
        <v>#VALUE!</v>
      </c>
      <c r="V88" s="62" t="e">
        <f t="shared" si="0"/>
        <v>#VALUE!</v>
      </c>
      <c r="W88" s="62" t="e">
        <f t="shared" si="10"/>
        <v>#VALUE!</v>
      </c>
      <c r="X88" s="62" t="e">
        <f t="shared" si="1"/>
        <v>#VALUE!</v>
      </c>
      <c r="Y88" s="62" t="e">
        <f t="shared" si="2"/>
        <v>#VALUE!</v>
      </c>
      <c r="Z88" s="62" t="e">
        <f t="shared" si="3"/>
        <v>#VALUE!</v>
      </c>
      <c r="AA88" s="63" t="e">
        <f t="shared" si="11"/>
        <v>#VALUE!</v>
      </c>
      <c r="AB88" s="60" t="e">
        <f t="shared" si="4"/>
        <v>#VALUE!</v>
      </c>
      <c r="AC88" s="1"/>
      <c r="AD88" s="453">
        <v>14</v>
      </c>
      <c r="AE88" s="101">
        <f t="shared" si="15"/>
        <v>0.79582841110647851</v>
      </c>
      <c r="AF88" s="101">
        <f t="shared" si="5"/>
        <v>0.10322841110647851</v>
      </c>
      <c r="AG88" s="101">
        <f t="shared" si="12"/>
        <v>0.10286406685479131</v>
      </c>
      <c r="AH88" s="101">
        <f t="shared" si="6"/>
        <v>7.7555651553673979</v>
      </c>
      <c r="AI88" s="101">
        <f t="shared" si="7"/>
        <v>0.36607917965255105</v>
      </c>
      <c r="AJ88" s="101">
        <f t="shared" si="8"/>
        <v>0.79582841110647695</v>
      </c>
      <c r="AK88" s="105">
        <f t="shared" si="13"/>
        <v>2.4158865222393487E-30</v>
      </c>
      <c r="AL88" s="106">
        <f t="shared" si="9"/>
        <v>12.899341454499071</v>
      </c>
      <c r="AM88" s="112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</row>
    <row r="89" spans="1:90" ht="18" customHeight="1" x14ac:dyDescent="0.25">
      <c r="A89" s="357" t="s">
        <v>154</v>
      </c>
      <c r="B89" s="358" t="e">
        <f>B88+$J$77</f>
        <v>#VALUE!</v>
      </c>
      <c r="C89" s="359" t="s">
        <v>68</v>
      </c>
      <c r="D89" s="359" t="s">
        <v>155</v>
      </c>
      <c r="E89" s="360"/>
      <c r="F89" s="358" t="e">
        <f>($J$77/B89)*$J$78+(B88/B89)*F88</f>
        <v>#VALUE!</v>
      </c>
      <c r="G89" s="359" t="s">
        <v>38</v>
      </c>
      <c r="H89" s="256"/>
      <c r="I89" s="257"/>
      <c r="J89" s="258"/>
      <c r="K89" s="257"/>
      <c r="L89" s="257"/>
      <c r="M89" s="271"/>
      <c r="O89" s="17" t="s">
        <v>165</v>
      </c>
      <c r="P89" s="58"/>
      <c r="Q89" s="11"/>
      <c r="R89" s="472">
        <f>PI()</f>
        <v>3.1415926535897931</v>
      </c>
      <c r="S89" s="471"/>
      <c r="T89" s="452">
        <v>15</v>
      </c>
      <c r="U89" s="62" t="e">
        <f t="shared" si="14"/>
        <v>#VALUE!</v>
      </c>
      <c r="V89" s="62" t="e">
        <f t="shared" si="0"/>
        <v>#VALUE!</v>
      </c>
      <c r="W89" s="62" t="e">
        <f t="shared" si="10"/>
        <v>#VALUE!</v>
      </c>
      <c r="X89" s="62" t="e">
        <f t="shared" si="1"/>
        <v>#VALUE!</v>
      </c>
      <c r="Y89" s="62" t="e">
        <f t="shared" si="2"/>
        <v>#VALUE!</v>
      </c>
      <c r="Z89" s="62" t="e">
        <f t="shared" si="3"/>
        <v>#VALUE!</v>
      </c>
      <c r="AA89" s="63" t="e">
        <f t="shared" si="11"/>
        <v>#VALUE!</v>
      </c>
      <c r="AB89" s="60" t="e">
        <f t="shared" si="4"/>
        <v>#VALUE!</v>
      </c>
      <c r="AC89" s="1"/>
      <c r="AD89" s="453">
        <v>15</v>
      </c>
      <c r="AE89" s="101">
        <f t="shared" si="15"/>
        <v>0.79582841110647695</v>
      </c>
      <c r="AF89" s="101">
        <f t="shared" si="5"/>
        <v>0.10322841110647696</v>
      </c>
      <c r="AG89" s="101">
        <f t="shared" si="12"/>
        <v>0.10286406685478977</v>
      </c>
      <c r="AH89" s="101">
        <f t="shared" si="6"/>
        <v>7.7555651553673695</v>
      </c>
      <c r="AI89" s="101">
        <f t="shared" si="7"/>
        <v>0.36607917965255132</v>
      </c>
      <c r="AJ89" s="101">
        <f t="shared" si="8"/>
        <v>0.79582841110647728</v>
      </c>
      <c r="AK89" s="105">
        <f t="shared" si="13"/>
        <v>1.1093356479670479E-31</v>
      </c>
      <c r="AL89" s="106">
        <f t="shared" si="9"/>
        <v>12.899341454499034</v>
      </c>
      <c r="AM89" s="112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</row>
    <row r="90" spans="1:90" ht="18" customHeight="1" x14ac:dyDescent="0.35">
      <c r="A90" s="362" t="s">
        <v>69</v>
      </c>
      <c r="B90" s="363" t="e">
        <f>R90*R93*(B88/(murhøyde_inkl._fotdybde-B87)+attraksjon_bak_mur)*(murhøyde_inkl._fotdybde-B87)</f>
        <v>#VALUE!</v>
      </c>
      <c r="C90" s="364" t="s">
        <v>68</v>
      </c>
      <c r="D90" s="365"/>
      <c r="E90" s="365"/>
      <c r="F90" s="365"/>
      <c r="G90" s="364"/>
      <c r="H90" s="259"/>
      <c r="I90" s="260"/>
      <c r="J90" s="261"/>
      <c r="K90" s="260"/>
      <c r="L90" s="260"/>
      <c r="M90" s="273"/>
      <c r="O90" s="19" t="s">
        <v>166</v>
      </c>
      <c r="P90" s="55"/>
      <c r="Q90" s="20"/>
      <c r="R90" s="60">
        <f>B22</f>
        <v>0.3</v>
      </c>
      <c r="S90" s="471"/>
      <c r="T90" s="452">
        <v>16</v>
      </c>
      <c r="U90" s="62" t="e">
        <f t="shared" si="14"/>
        <v>#VALUE!</v>
      </c>
      <c r="V90" s="62" t="e">
        <f t="shared" si="0"/>
        <v>#VALUE!</v>
      </c>
      <c r="W90" s="62" t="e">
        <f t="shared" si="10"/>
        <v>#VALUE!</v>
      </c>
      <c r="X90" s="62" t="e">
        <f t="shared" si="1"/>
        <v>#VALUE!</v>
      </c>
      <c r="Y90" s="62" t="e">
        <f t="shared" si="2"/>
        <v>#VALUE!</v>
      </c>
      <c r="Z90" s="62" t="e">
        <f t="shared" si="3"/>
        <v>#VALUE!</v>
      </c>
      <c r="AA90" s="63" t="e">
        <f t="shared" si="11"/>
        <v>#VALUE!</v>
      </c>
      <c r="AB90" s="60" t="e">
        <f t="shared" si="4"/>
        <v>#VALUE!</v>
      </c>
      <c r="AC90" s="1"/>
      <c r="AD90" s="453">
        <v>16</v>
      </c>
      <c r="AE90" s="101">
        <f t="shared" si="15"/>
        <v>0.79582841110647728</v>
      </c>
      <c r="AF90" s="101">
        <f t="shared" si="5"/>
        <v>0.10322841110647729</v>
      </c>
      <c r="AG90" s="101">
        <f t="shared" si="12"/>
        <v>0.1028640668547901</v>
      </c>
      <c r="AH90" s="101">
        <f t="shared" si="6"/>
        <v>7.7555651553673748</v>
      </c>
      <c r="AI90" s="101">
        <f t="shared" si="7"/>
        <v>0.36607917965255121</v>
      </c>
      <c r="AJ90" s="101">
        <f t="shared" si="8"/>
        <v>0.79582841110647706</v>
      </c>
      <c r="AK90" s="105">
        <f t="shared" si="13"/>
        <v>4.9303806576313238E-32</v>
      </c>
      <c r="AL90" s="106">
        <f t="shared" si="9"/>
        <v>12.899341454499039</v>
      </c>
      <c r="AM90" s="112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</row>
    <row r="91" spans="1:90" ht="18" customHeight="1" x14ac:dyDescent="0.35">
      <c r="A91" s="269" t="s">
        <v>167</v>
      </c>
      <c r="B91" s="181"/>
      <c r="C91" s="247"/>
      <c r="D91" s="181"/>
      <c r="E91" s="181"/>
      <c r="F91" s="182"/>
      <c r="G91" s="182"/>
      <c r="H91" s="253"/>
      <c r="I91" s="254"/>
      <c r="J91" s="255"/>
      <c r="K91" s="254"/>
      <c r="L91" s="254"/>
      <c r="M91" s="270"/>
      <c r="O91" s="19" t="s">
        <v>168</v>
      </c>
      <c r="P91" s="55"/>
      <c r="Q91" s="20"/>
      <c r="R91" s="473" t="str">
        <f>H42</f>
        <v xml:space="preserve"> </v>
      </c>
      <c r="S91" s="87" t="s">
        <v>169</v>
      </c>
      <c r="T91" s="452">
        <v>17</v>
      </c>
      <c r="U91" s="62" t="e">
        <f t="shared" si="14"/>
        <v>#VALUE!</v>
      </c>
      <c r="V91" s="62" t="e">
        <f t="shared" si="0"/>
        <v>#VALUE!</v>
      </c>
      <c r="W91" s="62" t="e">
        <f t="shared" si="10"/>
        <v>#VALUE!</v>
      </c>
      <c r="X91" s="62" t="e">
        <f t="shared" si="1"/>
        <v>#VALUE!</v>
      </c>
      <c r="Y91" s="62" t="e">
        <f t="shared" si="2"/>
        <v>#VALUE!</v>
      </c>
      <c r="Z91" s="62" t="e">
        <f t="shared" si="3"/>
        <v>#VALUE!</v>
      </c>
      <c r="AA91" s="63" t="e">
        <f t="shared" si="11"/>
        <v>#VALUE!</v>
      </c>
      <c r="AB91" s="60" t="e">
        <f t="shared" si="4"/>
        <v>#VALUE!</v>
      </c>
      <c r="AC91" s="1"/>
      <c r="AD91" s="453">
        <v>17</v>
      </c>
      <c r="AE91" s="101">
        <f t="shared" si="15"/>
        <v>0.79582841110647706</v>
      </c>
      <c r="AF91" s="101">
        <f t="shared" si="5"/>
        <v>0.10322841110647707</v>
      </c>
      <c r="AG91" s="101">
        <f t="shared" si="12"/>
        <v>0.10286406685478988</v>
      </c>
      <c r="AH91" s="101">
        <f t="shared" si="6"/>
        <v>7.7555651553673695</v>
      </c>
      <c r="AI91" s="101">
        <f t="shared" si="7"/>
        <v>0.36607917965255132</v>
      </c>
      <c r="AJ91" s="101">
        <f t="shared" si="8"/>
        <v>0.79582841110647728</v>
      </c>
      <c r="AK91" s="105">
        <f t="shared" si="13"/>
        <v>4.9303806576313238E-32</v>
      </c>
      <c r="AL91" s="106">
        <f t="shared" si="9"/>
        <v>12.899341454499034</v>
      </c>
      <c r="AM91" s="112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</row>
    <row r="92" spans="1:90" ht="18" customHeight="1" x14ac:dyDescent="0.5">
      <c r="A92" s="266" t="s">
        <v>170</v>
      </c>
      <c r="B92" s="182"/>
      <c r="C92" s="248"/>
      <c r="D92" s="182"/>
      <c r="E92" s="182"/>
      <c r="F92" s="182"/>
      <c r="G92" s="182"/>
      <c r="H92" s="256"/>
      <c r="I92" s="257"/>
      <c r="J92" s="258"/>
      <c r="K92" s="257"/>
      <c r="L92" s="257"/>
      <c r="M92" s="271"/>
      <c r="O92" s="12" t="s">
        <v>171</v>
      </c>
      <c r="P92" s="2"/>
      <c r="Q92" s="2"/>
      <c r="R92" s="473" t="str">
        <f>B29</f>
        <v xml:space="preserve"> </v>
      </c>
      <c r="S92" s="470"/>
      <c r="T92" s="452">
        <v>18</v>
      </c>
      <c r="U92" s="62" t="e">
        <f t="shared" si="14"/>
        <v>#VALUE!</v>
      </c>
      <c r="V92" s="62" t="e">
        <f t="shared" si="0"/>
        <v>#VALUE!</v>
      </c>
      <c r="W92" s="62" t="e">
        <f t="shared" si="10"/>
        <v>#VALUE!</v>
      </c>
      <c r="X92" s="62" t="e">
        <f t="shared" si="1"/>
        <v>#VALUE!</v>
      </c>
      <c r="Y92" s="62" t="e">
        <f t="shared" si="2"/>
        <v>#VALUE!</v>
      </c>
      <c r="Z92" s="62" t="e">
        <f t="shared" si="3"/>
        <v>#VALUE!</v>
      </c>
      <c r="AA92" s="63" t="e">
        <f t="shared" si="11"/>
        <v>#VALUE!</v>
      </c>
      <c r="AB92" s="60" t="e">
        <f t="shared" si="4"/>
        <v>#VALUE!</v>
      </c>
      <c r="AC92" s="1"/>
      <c r="AD92" s="453">
        <v>18</v>
      </c>
      <c r="AE92" s="101">
        <f t="shared" si="15"/>
        <v>0.79582841110647728</v>
      </c>
      <c r="AF92" s="101">
        <f t="shared" si="5"/>
        <v>0.10322841110647729</v>
      </c>
      <c r="AG92" s="101">
        <f t="shared" si="12"/>
        <v>0.1028640668547901</v>
      </c>
      <c r="AH92" s="101">
        <f t="shared" si="6"/>
        <v>7.7555651553673748</v>
      </c>
      <c r="AI92" s="101">
        <f t="shared" si="7"/>
        <v>0.36607917965255121</v>
      </c>
      <c r="AJ92" s="101">
        <f t="shared" si="8"/>
        <v>0.79582841110647706</v>
      </c>
      <c r="AK92" s="105">
        <f t="shared" si="13"/>
        <v>4.9303806576313238E-32</v>
      </c>
      <c r="AL92" s="106">
        <f t="shared" si="9"/>
        <v>12.899341454499039</v>
      </c>
      <c r="AM92" s="112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</row>
    <row r="93" spans="1:90" ht="18" customHeight="1" x14ac:dyDescent="0.25">
      <c r="A93" s="266"/>
      <c r="B93" s="182"/>
      <c r="C93" s="248"/>
      <c r="D93" s="182"/>
      <c r="E93" s="182"/>
      <c r="F93" s="182"/>
      <c r="G93" s="182"/>
      <c r="H93" s="256"/>
      <c r="I93" s="257"/>
      <c r="J93" s="258"/>
      <c r="K93" s="257"/>
      <c r="L93" s="257"/>
      <c r="M93" s="271"/>
      <c r="O93" s="34" t="s">
        <v>172</v>
      </c>
      <c r="P93" s="35"/>
      <c r="Q93" s="35"/>
      <c r="R93" s="474" t="str">
        <f>B27</f>
        <v xml:space="preserve"> </v>
      </c>
      <c r="S93" s="470"/>
      <c r="T93" s="452">
        <v>19</v>
      </c>
      <c r="U93" s="62" t="e">
        <f t="shared" si="14"/>
        <v>#VALUE!</v>
      </c>
      <c r="V93" s="62" t="e">
        <f t="shared" si="0"/>
        <v>#VALUE!</v>
      </c>
      <c r="W93" s="62" t="e">
        <f t="shared" si="10"/>
        <v>#VALUE!</v>
      </c>
      <c r="X93" s="62" t="e">
        <f t="shared" si="1"/>
        <v>#VALUE!</v>
      </c>
      <c r="Y93" s="62" t="e">
        <f t="shared" si="2"/>
        <v>#VALUE!</v>
      </c>
      <c r="Z93" s="62" t="e">
        <f t="shared" si="3"/>
        <v>#VALUE!</v>
      </c>
      <c r="AA93" s="63" t="e">
        <f t="shared" si="11"/>
        <v>#VALUE!</v>
      </c>
      <c r="AB93" s="60" t="e">
        <f t="shared" si="4"/>
        <v>#VALUE!</v>
      </c>
      <c r="AC93" s="1"/>
      <c r="AD93" s="453">
        <v>19</v>
      </c>
      <c r="AE93" s="101">
        <f t="shared" si="15"/>
        <v>0.79582841110647706</v>
      </c>
      <c r="AF93" s="101">
        <f t="shared" si="5"/>
        <v>0.10322841110647707</v>
      </c>
      <c r="AG93" s="101">
        <f t="shared" si="12"/>
        <v>0.10286406685478988</v>
      </c>
      <c r="AH93" s="101">
        <f t="shared" si="6"/>
        <v>7.7555651553673695</v>
      </c>
      <c r="AI93" s="101">
        <f t="shared" si="7"/>
        <v>0.36607917965255132</v>
      </c>
      <c r="AJ93" s="101">
        <f t="shared" si="8"/>
        <v>0.79582841110647728</v>
      </c>
      <c r="AK93" s="105">
        <f t="shared" si="13"/>
        <v>4.9303806576313238E-32</v>
      </c>
      <c r="AL93" s="106">
        <f t="shared" si="9"/>
        <v>12.899341454499034</v>
      </c>
      <c r="AM93" s="112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</row>
    <row r="94" spans="1:90" ht="18" customHeight="1" thickBot="1" x14ac:dyDescent="0.4">
      <c r="A94" s="266"/>
      <c r="B94" s="182"/>
      <c r="C94" s="248"/>
      <c r="D94" s="182"/>
      <c r="E94" s="182"/>
      <c r="F94" s="182"/>
      <c r="G94" s="182"/>
      <c r="H94" s="256"/>
      <c r="I94" s="257"/>
      <c r="J94" s="258"/>
      <c r="K94" s="257"/>
      <c r="L94" s="257"/>
      <c r="M94" s="271"/>
      <c r="O94" s="86" t="s">
        <v>173</v>
      </c>
      <c r="P94" s="85"/>
      <c r="Q94" s="85"/>
      <c r="R94" s="475" t="e">
        <f>ATAN(R93)*180/$R$89</f>
        <v>#VALUE!</v>
      </c>
      <c r="S94" s="470"/>
      <c r="T94" s="452">
        <v>20</v>
      </c>
      <c r="U94" s="62" t="e">
        <f t="shared" si="14"/>
        <v>#VALUE!</v>
      </c>
      <c r="V94" s="62" t="e">
        <f t="shared" si="0"/>
        <v>#VALUE!</v>
      </c>
      <c r="W94" s="62" t="e">
        <f t="shared" si="10"/>
        <v>#VALUE!</v>
      </c>
      <c r="X94" s="62" t="e">
        <f t="shared" si="1"/>
        <v>#VALUE!</v>
      </c>
      <c r="Y94" s="62" t="e">
        <f t="shared" si="2"/>
        <v>#VALUE!</v>
      </c>
      <c r="Z94" s="62" t="e">
        <f t="shared" si="3"/>
        <v>#VALUE!</v>
      </c>
      <c r="AA94" s="63" t="e">
        <f t="shared" si="11"/>
        <v>#VALUE!</v>
      </c>
      <c r="AB94" s="60" t="e">
        <f t="shared" si="4"/>
        <v>#VALUE!</v>
      </c>
      <c r="AC94" s="1"/>
      <c r="AD94" s="453">
        <v>20</v>
      </c>
      <c r="AE94" s="101">
        <f t="shared" si="15"/>
        <v>0.79582841110647728</v>
      </c>
      <c r="AF94" s="101">
        <f t="shared" si="5"/>
        <v>0.10322841110647729</v>
      </c>
      <c r="AG94" s="101">
        <f t="shared" si="12"/>
        <v>0.1028640668547901</v>
      </c>
      <c r="AH94" s="101">
        <f t="shared" si="6"/>
        <v>7.7555651553673748</v>
      </c>
      <c r="AI94" s="101">
        <f t="shared" si="7"/>
        <v>0.36607917965255121</v>
      </c>
      <c r="AJ94" s="101">
        <f t="shared" si="8"/>
        <v>0.79582841110647706</v>
      </c>
      <c r="AK94" s="105">
        <f t="shared" si="13"/>
        <v>4.9303806576313238E-32</v>
      </c>
      <c r="AL94" s="106">
        <f t="shared" si="9"/>
        <v>12.899341454499039</v>
      </c>
      <c r="AM94" s="112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</row>
    <row r="95" spans="1:90" ht="18" customHeight="1" x14ac:dyDescent="0.2">
      <c r="A95" s="357" t="s">
        <v>67</v>
      </c>
      <c r="B95" s="351" t="e">
        <f>0.5*(murhøyde_inkl._fotdybde*(K_A_korrigert*(attraksjon_bak_mur+(B6*Nyttelast_bak_mur+C6*Boggilast_bak_mur__qQk))-attraksjon_bak_mur*(R97*R87/(R88-R87)+1))+murhøyde_inkl._fotdybde*(K_A_korrigert*(attraksjon_bak_mur+(B6*Nyttelast_bak_mur-C6*Boggilast_bak_mur__qQk*(murhøyde_inkl._fotdybde/5-1))+spesifikk_tyngde_bak_muren*murhøyde_inkl._fotdybde)-attraksjon_bak_mur*(R97*R87/(R88-R87)+1)))</f>
        <v>#VALUE!</v>
      </c>
      <c r="C95" s="352" t="s">
        <v>68</v>
      </c>
      <c r="D95" s="359" t="s">
        <v>152</v>
      </c>
      <c r="E95" s="360"/>
      <c r="F95" s="351" t="e">
        <f>(1/(6*B95))*(2*murhøyde_inkl._fotdybde^2*(K_A_korrigert*(attraksjon_bak_mur+(C6*Boggilast_bak_mur__qQk+B6*Nyttelast_bak_mur))-attraksjon_bak_mur*(R97*R87/(R88-R87)+1))+murhøyde_inkl._fotdybde^2*(K_A_korrigert*(attraksjon_bak_mur+(B6*Nyttelast_bak_mur-C6*Boggilast_bak_mur__qQk*(murhøyde_inkl._fotdybde/5-1))+spesifikk_tyngde_bak_muren*murhøyde_inkl._fotdybde)-attraksjon_bak_mur*(R97*R87/(R88-R87)+1)))</f>
        <v>#VALUE!</v>
      </c>
      <c r="G95" s="352" t="s">
        <v>38</v>
      </c>
      <c r="H95" s="256"/>
      <c r="I95" s="257"/>
      <c r="J95" s="258"/>
      <c r="K95" s="257"/>
      <c r="L95" s="257"/>
      <c r="M95" s="271"/>
      <c r="O95" s="313" t="s">
        <v>174</v>
      </c>
      <c r="P95" s="314"/>
      <c r="Q95" s="315"/>
      <c r="R95" s="290" t="s">
        <v>175</v>
      </c>
      <c r="S95" s="470"/>
      <c r="T95" s="1"/>
      <c r="U95" s="1"/>
      <c r="V95" s="1"/>
      <c r="W95" s="1"/>
      <c r="X95" s="27"/>
      <c r="Y95" s="1"/>
      <c r="Z95" s="1"/>
      <c r="AA95" s="1"/>
      <c r="AB95" s="61" t="e">
        <f>MIN(AB75:AB94)</f>
        <v>#VALUE!</v>
      </c>
      <c r="AC95" s="1"/>
      <c r="AD95" s="111"/>
      <c r="AE95" s="93"/>
      <c r="AF95" s="93"/>
      <c r="AG95" s="93"/>
      <c r="AH95" s="92"/>
      <c r="AI95" s="93"/>
      <c r="AJ95" s="93"/>
      <c r="AK95" s="93"/>
      <c r="AL95" s="106">
        <f>MIN(AL75:AL94)</f>
        <v>12.890497808364751</v>
      </c>
      <c r="AM95" s="112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</row>
    <row r="96" spans="1:90" ht="18" customHeight="1" thickBot="1" x14ac:dyDescent="0.25">
      <c r="A96" s="357" t="s">
        <v>154</v>
      </c>
      <c r="B96" s="351" t="e">
        <f>B95+$J$77</f>
        <v>#VALUE!</v>
      </c>
      <c r="C96" s="352" t="s">
        <v>68</v>
      </c>
      <c r="D96" s="359" t="s">
        <v>155</v>
      </c>
      <c r="E96" s="360"/>
      <c r="F96" s="351" t="e">
        <f>($J$77/B96)*$J$78+(B95/B96)*F95</f>
        <v>#VALUE!</v>
      </c>
      <c r="G96" s="352" t="s">
        <v>38</v>
      </c>
      <c r="H96" s="256"/>
      <c r="I96" s="257"/>
      <c r="J96" s="258"/>
      <c r="K96" s="257"/>
      <c r="L96" s="257"/>
      <c r="M96" s="271"/>
      <c r="O96" s="316"/>
      <c r="P96" s="317"/>
      <c r="Q96" s="318"/>
      <c r="R96" s="290" t="s">
        <v>49</v>
      </c>
      <c r="S96" s="470"/>
      <c r="T96" s="1"/>
      <c r="U96" s="2" t="s">
        <v>176</v>
      </c>
      <c r="V96" s="1"/>
      <c r="W96" s="1"/>
      <c r="X96" s="1"/>
      <c r="Y96" s="1"/>
      <c r="Z96" s="1"/>
      <c r="AA96" s="1"/>
      <c r="AB96" s="1"/>
      <c r="AC96" s="1"/>
      <c r="AD96" s="113"/>
      <c r="AE96" s="114"/>
      <c r="AF96" s="114"/>
      <c r="AG96" s="114"/>
      <c r="AH96" s="114"/>
      <c r="AI96" s="114"/>
      <c r="AJ96" s="114"/>
      <c r="AK96" s="114"/>
      <c r="AL96" s="114"/>
      <c r="AM96" s="115"/>
    </row>
    <row r="97" spans="1:67" ht="18" customHeight="1" thickTop="1" thickBot="1" x14ac:dyDescent="0.3">
      <c r="A97" s="362" t="s">
        <v>69</v>
      </c>
      <c r="B97" s="354" t="e">
        <f>R90*R93*(B95/murhøyde_inkl._fotdybde+attraksjon_bak_mur)*murhøyde_inkl._fotdybde</f>
        <v>#VALUE!</v>
      </c>
      <c r="C97" s="364" t="s">
        <v>68</v>
      </c>
      <c r="D97" s="356"/>
      <c r="E97" s="355"/>
      <c r="F97" s="356"/>
      <c r="G97" s="356"/>
      <c r="H97" s="259"/>
      <c r="I97" s="260"/>
      <c r="J97" s="261"/>
      <c r="K97" s="260"/>
      <c r="L97" s="260"/>
      <c r="M97" s="273"/>
      <c r="O97" s="319" t="s">
        <v>177</v>
      </c>
      <c r="P97" s="320"/>
      <c r="Q97" s="321"/>
      <c r="R97" s="304">
        <f>IF(B25="Ja",1,0)</f>
        <v>0</v>
      </c>
      <c r="S97" s="470"/>
      <c r="T97" s="1"/>
      <c r="U97" s="43" t="s">
        <v>178</v>
      </c>
      <c r="V97" s="1"/>
      <c r="W97" s="1"/>
      <c r="X97" s="1"/>
      <c r="Y97" s="1"/>
      <c r="Z97" s="1"/>
      <c r="AA97" s="132" t="s">
        <v>179</v>
      </c>
      <c r="AB97" s="133"/>
      <c r="AC97" s="133"/>
      <c r="AD97" s="133"/>
      <c r="AE97" s="1"/>
      <c r="AF97" s="1"/>
      <c r="AG97" s="1"/>
      <c r="AH97" s="1"/>
      <c r="AI97" s="1"/>
      <c r="AJ97" s="1"/>
      <c r="AK97" s="1"/>
      <c r="AL97" s="1"/>
      <c r="AM97" s="1"/>
      <c r="BL97" s="152"/>
    </row>
    <row r="98" spans="1:67" ht="18" customHeight="1" thickBot="1" x14ac:dyDescent="0.3">
      <c r="A98" s="269" t="s">
        <v>180</v>
      </c>
      <c r="B98" s="181"/>
      <c r="C98" s="247"/>
      <c r="D98" s="181"/>
      <c r="E98" s="181"/>
      <c r="F98" s="182"/>
      <c r="G98" s="182"/>
      <c r="H98" s="253"/>
      <c r="I98" s="254"/>
      <c r="J98" s="255"/>
      <c r="K98" s="254"/>
      <c r="L98" s="254"/>
      <c r="M98" s="270"/>
      <c r="O98" s="37" t="s">
        <v>181</v>
      </c>
      <c r="P98" s="38"/>
      <c r="Q98" s="38"/>
      <c r="R98" s="476" t="str">
        <f>B26</f>
        <v xml:space="preserve"> </v>
      </c>
      <c r="S98" s="470"/>
      <c r="T98" s="1"/>
      <c r="U98" s="477" t="e">
        <f>R105</f>
        <v>#DIV/0!</v>
      </c>
      <c r="V98" s="1"/>
      <c r="W98" s="1"/>
      <c r="X98" s="1"/>
      <c r="Y98" s="1"/>
      <c r="Z98" s="1"/>
      <c r="AA98" s="478" t="s">
        <v>176</v>
      </c>
      <c r="AB98" s="133"/>
      <c r="AC98" s="133"/>
      <c r="AD98" s="133"/>
      <c r="AE98" s="1"/>
      <c r="AF98" s="1"/>
      <c r="AG98" s="1"/>
      <c r="AH98" s="1"/>
      <c r="AI98" s="1"/>
      <c r="AJ98" s="1"/>
      <c r="AK98" s="1"/>
      <c r="AL98" s="1"/>
      <c r="AM98" s="1"/>
      <c r="BM98" s="152"/>
    </row>
    <row r="99" spans="1:67" ht="18" customHeight="1" thickBot="1" x14ac:dyDescent="0.55000000000000004">
      <c r="A99" s="266" t="s">
        <v>182</v>
      </c>
      <c r="B99" s="182"/>
      <c r="C99" s="248"/>
      <c r="D99" s="182"/>
      <c r="E99" s="182"/>
      <c r="F99" s="182"/>
      <c r="G99" s="182"/>
      <c r="H99" s="256"/>
      <c r="I99" s="257"/>
      <c r="J99" s="258"/>
      <c r="K99" s="257"/>
      <c r="L99" s="257"/>
      <c r="M99" s="271"/>
      <c r="O99" s="40" t="s">
        <v>183</v>
      </c>
      <c r="P99" s="15"/>
      <c r="Q99" s="15"/>
      <c r="R99" s="479" t="e">
        <f>ATAN(R98)*180/$R$89</f>
        <v>#VALUE!</v>
      </c>
      <c r="S99" s="470"/>
      <c r="T99" s="1"/>
      <c r="U99" s="44" t="s">
        <v>178</v>
      </c>
      <c r="V99" s="480" t="s">
        <v>184</v>
      </c>
      <c r="W99" s="481"/>
      <c r="X99" s="480" t="s">
        <v>185</v>
      </c>
      <c r="Y99" s="45"/>
      <c r="Z99" s="1"/>
      <c r="AA99" s="134" t="s">
        <v>178</v>
      </c>
      <c r="AB99" s="135" t="s">
        <v>186</v>
      </c>
      <c r="AC99" s="482" t="s">
        <v>184</v>
      </c>
      <c r="AD99" s="482" t="s">
        <v>185</v>
      </c>
      <c r="AE99" s="1"/>
      <c r="AF99" s="1"/>
      <c r="AG99" s="1"/>
      <c r="AH99" s="1"/>
      <c r="AI99" s="1"/>
      <c r="AJ99" s="1"/>
      <c r="AK99" s="1"/>
      <c r="AL99" s="1"/>
      <c r="AM99" s="1"/>
      <c r="BM99" s="152"/>
    </row>
    <row r="100" spans="1:67" ht="18" customHeight="1" thickBot="1" x14ac:dyDescent="0.4">
      <c r="A100" s="272" t="s">
        <v>162</v>
      </c>
      <c r="B100" s="283" t="e">
        <f>(attraksjon_bak_mur*(R97*R87/(R88-R87)+1)-K_A_korrigert*(attraksjon_bak_mur+(C6*Boggilast_bak_mur__qQk+B6*Nyttelast_bak_mur)))/(K_A_korrigert*(spesifikk_tyngde_bak_muren-(C6*Boggilast_bak_mur__qQk/5)))</f>
        <v>#VALUE!</v>
      </c>
      <c r="C100" s="246" t="s">
        <v>38</v>
      </c>
      <c r="D100" s="182"/>
      <c r="E100" s="182"/>
      <c r="F100" s="182"/>
      <c r="G100" s="182"/>
      <c r="H100" s="256"/>
      <c r="I100" s="257"/>
      <c r="J100" s="258"/>
      <c r="K100" s="257"/>
      <c r="L100" s="257"/>
      <c r="M100" s="271"/>
      <c r="O100" s="41" t="s">
        <v>187</v>
      </c>
      <c r="P100" s="16"/>
      <c r="Q100" s="16"/>
      <c r="R100" s="60" t="e">
        <f>ATAN(R98)</f>
        <v>#VALUE!</v>
      </c>
      <c r="S100" s="470"/>
      <c r="T100" s="1"/>
      <c r="U100" s="483" t="s">
        <v>188</v>
      </c>
      <c r="V100" s="484" t="e">
        <f>IF(U98&lt;0.31,1-1.0667*U98,1)</f>
        <v>#DIV/0!</v>
      </c>
      <c r="W100" s="485" t="e">
        <f>V100</f>
        <v>#DIV/0!</v>
      </c>
      <c r="X100" s="484" t="e">
        <f>IF(U98&lt;0.31,1-1.633*U98,1)</f>
        <v>#DIV/0!</v>
      </c>
      <c r="Y100" s="486" t="e">
        <f>X100</f>
        <v>#DIV/0!</v>
      </c>
      <c r="Z100" s="1"/>
      <c r="AA100" s="136" t="e">
        <f>U98</f>
        <v>#DIV/0!</v>
      </c>
      <c r="AB100" s="137" t="e">
        <f>ATAN(AA100)</f>
        <v>#DIV/0!</v>
      </c>
      <c r="AC100" s="137" t="e">
        <f>EXP(-2*AB100*R98)</f>
        <v>#DIV/0!</v>
      </c>
      <c r="AD100" s="137" t="e">
        <f>(1-0.55*AA100)^5</f>
        <v>#DIV/0!</v>
      </c>
      <c r="AE100" s="1"/>
      <c r="AF100" s="1"/>
      <c r="AG100" s="1"/>
      <c r="AH100" s="1"/>
      <c r="AI100" s="1"/>
      <c r="AJ100" s="1"/>
      <c r="AK100" s="1"/>
      <c r="AL100" s="1"/>
      <c r="AM100" s="1"/>
      <c r="BM100" s="152"/>
    </row>
    <row r="101" spans="1:67" ht="18" customHeight="1" thickTop="1" x14ac:dyDescent="0.3">
      <c r="A101" s="350" t="s">
        <v>67</v>
      </c>
      <c r="B101" s="351" t="e">
        <f>0.5*((murhøyde_inkl._fotdybde-B100)*(K_A_korrigert*(attraksjon_bak_mur+(B6*Nyttelast_bak_mur-C6*Boggilast_bak_mur__qQk*(murhøyde_inkl._fotdybde/5-1))+spesifikk_tyngde_bak_muren*murhøyde_inkl._fotdybde)-attraksjon_bak_mur*(R97*R87/(R88-R87)+1)))</f>
        <v>#VALUE!</v>
      </c>
      <c r="C101" s="352" t="s">
        <v>68</v>
      </c>
      <c r="D101" s="352" t="s">
        <v>152</v>
      </c>
      <c r="E101" s="353"/>
      <c r="F101" s="351" t="e">
        <f>(murhøyde_inkl._fotdybde-B100)/3</f>
        <v>#VALUE!</v>
      </c>
      <c r="G101" s="352" t="s">
        <v>38</v>
      </c>
      <c r="H101" s="256"/>
      <c r="I101" s="257"/>
      <c r="J101" s="258"/>
      <c r="K101" s="257"/>
      <c r="L101" s="257"/>
      <c r="M101" s="271"/>
      <c r="O101" s="13" t="s">
        <v>189</v>
      </c>
      <c r="P101" s="14"/>
      <c r="Q101" s="14"/>
      <c r="R101" s="479" t="e">
        <f>1/(R91+0.00001)*(1-SQRT(1-(R91)^2))</f>
        <v>#VALUE!</v>
      </c>
      <c r="S101" s="470"/>
      <c r="T101" s="1"/>
      <c r="U101" s="487" t="s">
        <v>190</v>
      </c>
      <c r="V101" s="488" t="e">
        <f>IF(U98&lt;0.41,0.68-0.95*(U98-0.3),1)</f>
        <v>#DIV/0!</v>
      </c>
      <c r="W101" s="473" t="e">
        <f>IF(U98&lt;0.31,1,V101)</f>
        <v>#DIV/0!</v>
      </c>
      <c r="X101" s="488" t="e">
        <f>IF(U98&lt;0.41,0.51-1.3*(U98-0.3),1)</f>
        <v>#DIV/0!</v>
      </c>
      <c r="Y101" s="489" t="e">
        <f>IF(U98&lt;0.31,1,X101)</f>
        <v>#DIV/0!</v>
      </c>
      <c r="Z101" s="1"/>
      <c r="AA101" s="1"/>
      <c r="AB101" s="1"/>
      <c r="AC101" s="1"/>
      <c r="AD101" s="1"/>
      <c r="AE101" s="116"/>
      <c r="AF101" s="117"/>
      <c r="AG101" s="117"/>
      <c r="AH101" s="117"/>
      <c r="AI101" s="118"/>
      <c r="AJ101" s="1"/>
      <c r="AK101" s="1"/>
      <c r="AL101" s="1"/>
      <c r="AM101" s="1"/>
      <c r="BM101" s="152"/>
    </row>
    <row r="102" spans="1:67" ht="18" customHeight="1" x14ac:dyDescent="0.25">
      <c r="A102" s="357" t="s">
        <v>154</v>
      </c>
      <c r="B102" s="351" t="e">
        <f>B101+$J$77</f>
        <v>#VALUE!</v>
      </c>
      <c r="C102" s="352" t="s">
        <v>68</v>
      </c>
      <c r="D102" s="359" t="s">
        <v>155</v>
      </c>
      <c r="E102" s="353"/>
      <c r="F102" s="351" t="e">
        <f>($J$77/B102)*$J$78+(B101/B102)*F101</f>
        <v>#VALUE!</v>
      </c>
      <c r="G102" s="352" t="s">
        <v>38</v>
      </c>
      <c r="H102" s="256"/>
      <c r="I102" s="257"/>
      <c r="J102" s="258"/>
      <c r="K102" s="257"/>
      <c r="L102" s="257"/>
      <c r="M102" s="271"/>
      <c r="O102" s="39" t="s">
        <v>191</v>
      </c>
      <c r="P102" s="57"/>
      <c r="Q102" s="21"/>
      <c r="R102" s="60" t="e">
        <f>R103*180/$R$89</f>
        <v>#VALUE!</v>
      </c>
      <c r="S102" s="470"/>
      <c r="T102" s="1"/>
      <c r="U102" s="487" t="s">
        <v>192</v>
      </c>
      <c r="V102" s="488" t="e">
        <f>IF(U98&lt;0.51,0.585-0.8*(U98-0.4),1)</f>
        <v>#DIV/0!</v>
      </c>
      <c r="W102" s="473" t="e">
        <f>IF(U98&lt;0.41,1,V102)</f>
        <v>#DIV/0!</v>
      </c>
      <c r="X102" s="488" t="e">
        <f>IF(U98&lt;0.51,0.38-1.2*(U98-0.4),1)</f>
        <v>#DIV/0!</v>
      </c>
      <c r="Y102" s="489" t="e">
        <f>IF(U98&lt;0.41,1,X102)</f>
        <v>#DIV/0!</v>
      </c>
      <c r="Z102" s="1"/>
      <c r="AA102" s="1"/>
      <c r="AB102" s="1"/>
      <c r="AC102" s="1"/>
      <c r="AD102" s="1"/>
      <c r="AE102" s="490" t="s">
        <v>163</v>
      </c>
      <c r="AF102" s="468"/>
      <c r="AH102" s="485">
        <f>IF(AH32&lt;&gt;0,1/(AH32*AH45),0)</f>
        <v>0</v>
      </c>
      <c r="AI102" s="119"/>
      <c r="AJ102" s="1"/>
      <c r="AK102" s="1"/>
      <c r="AL102" s="1"/>
      <c r="AM102" s="1"/>
      <c r="BM102" s="152"/>
    </row>
    <row r="103" spans="1:67" ht="18" customHeight="1" thickBot="1" x14ac:dyDescent="0.3">
      <c r="A103" s="368" t="s">
        <v>69</v>
      </c>
      <c r="B103" s="385" t="e">
        <f>R90*R93*(B101/(murhøyde_inkl._fotdybde-B100)+attraksjon_bak_mur)*(murhøyde_inkl._fotdybde-B100)</f>
        <v>#VALUE!</v>
      </c>
      <c r="C103" s="370" t="s">
        <v>68</v>
      </c>
      <c r="D103" s="369"/>
      <c r="E103" s="369"/>
      <c r="F103" s="369"/>
      <c r="G103" s="369"/>
      <c r="H103" s="262"/>
      <c r="I103" s="263"/>
      <c r="J103" s="264"/>
      <c r="K103" s="263"/>
      <c r="L103" s="263"/>
      <c r="M103" s="274"/>
      <c r="O103" s="41" t="s">
        <v>193</v>
      </c>
      <c r="P103" s="16"/>
      <c r="Q103" s="22"/>
      <c r="R103" s="60" t="e">
        <f>ATAN(R101*TAN(0.25*PI()+0.5*R100))</f>
        <v>#VALUE!</v>
      </c>
      <c r="S103" s="470"/>
      <c r="T103" s="1"/>
      <c r="U103" s="487" t="s">
        <v>194</v>
      </c>
      <c r="V103" s="488" t="e">
        <f>IF(U98&lt;0.61,0.505-0.7*(U98-0.5),1)</f>
        <v>#DIV/0!</v>
      </c>
      <c r="W103" s="473" t="e">
        <f>IF(U98&lt;0.51,1,V103)</f>
        <v>#DIV/0!</v>
      </c>
      <c r="X103" s="488" t="e">
        <f>IF(U98&lt;0.61,0.26-0.8*(U98-0.5),1)</f>
        <v>#DIV/0!</v>
      </c>
      <c r="Y103" s="489" t="e">
        <f>IF(U98&lt;0.51,1,X103)</f>
        <v>#DIV/0!</v>
      </c>
      <c r="Z103" s="1"/>
      <c r="AA103" s="1"/>
      <c r="AB103" s="1"/>
      <c r="AC103" s="1"/>
      <c r="AD103" s="1"/>
      <c r="AE103" s="120" t="s">
        <v>165</v>
      </c>
      <c r="AF103" s="58"/>
      <c r="AG103" s="11"/>
      <c r="AH103" s="60">
        <f>PI()</f>
        <v>3.1415926535897931</v>
      </c>
      <c r="AI103" s="119"/>
      <c r="AJ103" s="1"/>
      <c r="AK103" s="1"/>
      <c r="AL103" s="1"/>
      <c r="AM103" s="1"/>
      <c r="BM103" s="152"/>
    </row>
    <row r="104" spans="1:67" ht="18" customHeight="1" x14ac:dyDescent="0.35">
      <c r="A104" s="389" t="s">
        <v>195</v>
      </c>
      <c r="B104" s="390" t="e">
        <f>IF(D78&lt;0,IF(murhøyde_inkl._fotdybde&lt;=5,B101,B88),IF(murhøyde_inkl._fotdybde&lt;=5,B95,B82))</f>
        <v>#VALUE!</v>
      </c>
      <c r="C104" s="391" t="s">
        <v>68</v>
      </c>
      <c r="D104" s="392" t="s">
        <v>196</v>
      </c>
      <c r="E104" s="393"/>
      <c r="F104" s="390" t="e">
        <f>IF(D78&lt;0,IF(murhøyde_inkl._fotdybde&lt;=5,F101,F88),IF(murhøyde_inkl._fotdybde&lt;=5,F95,F82))</f>
        <v>#VALUE!</v>
      </c>
      <c r="G104" s="391" t="s">
        <v>38</v>
      </c>
      <c r="H104" s="394"/>
      <c r="I104" s="393"/>
      <c r="J104" s="393"/>
      <c r="K104" s="393"/>
      <c r="L104" s="393"/>
      <c r="M104" s="395"/>
      <c r="O104" s="23" t="s">
        <v>115</v>
      </c>
      <c r="P104" s="56"/>
      <c r="Q104" s="24"/>
      <c r="R104" s="60" t="e">
        <f>(1+SIN(R99*$R$89/180))/(1-SIN(R99*$R$89/180))</f>
        <v>#VALUE!</v>
      </c>
      <c r="S104" s="3"/>
      <c r="T104" s="1"/>
      <c r="U104" s="487" t="s">
        <v>197</v>
      </c>
      <c r="V104" s="488" t="e">
        <f>IF(U98&lt;0.71,0.435-0.65*(U98-0.6),1)</f>
        <v>#DIV/0!</v>
      </c>
      <c r="W104" s="473" t="e">
        <f>IF(U98&lt;0.61,1,V104)</f>
        <v>#DIV/0!</v>
      </c>
      <c r="X104" s="488" t="e">
        <f>IF(U98&lt;0.71,0.18-0.65*(U98-0.6),1)</f>
        <v>#DIV/0!</v>
      </c>
      <c r="Y104" s="489" t="e">
        <f>IF(U98&lt;0.61,1,X104)</f>
        <v>#DIV/0!</v>
      </c>
      <c r="Z104" s="1"/>
      <c r="AA104" s="1"/>
      <c r="AB104" s="1"/>
      <c r="AC104" s="1"/>
      <c r="AD104" s="1"/>
      <c r="AE104" s="121" t="s">
        <v>166</v>
      </c>
      <c r="AF104" s="55"/>
      <c r="AG104" s="20"/>
      <c r="AH104" s="60">
        <f>AH37</f>
        <v>0</v>
      </c>
      <c r="AI104" s="119"/>
      <c r="AJ104" s="1"/>
      <c r="AK104" s="1"/>
      <c r="AL104" s="1"/>
      <c r="AM104" s="1"/>
      <c r="BM104" s="152"/>
    </row>
    <row r="105" spans="1:67" ht="18" customHeight="1" x14ac:dyDescent="0.35">
      <c r="A105" s="396" t="s">
        <v>198</v>
      </c>
      <c r="B105" s="358" t="e">
        <f>IF(D78&lt;0,IF(murhøyde_inkl._fotdybde&lt;=5,B102,B89),IF(murhøyde_inkl._fotdybde&lt;=5,B96,B83))</f>
        <v>#VALUE!</v>
      </c>
      <c r="C105" s="359" t="s">
        <v>68</v>
      </c>
      <c r="D105" s="388" t="s">
        <v>199</v>
      </c>
      <c r="E105" s="360"/>
      <c r="F105" s="358" t="e">
        <f>IF(D78&lt;0,IF(murhøyde_inkl._fotdybde&lt;=5,F102,F89),IF(murhøyde_inkl._fotdybde&lt;=5,F96,F83))</f>
        <v>#VALUE!</v>
      </c>
      <c r="G105" s="359" t="s">
        <v>38</v>
      </c>
      <c r="H105" s="397"/>
      <c r="I105" s="360"/>
      <c r="J105" s="360"/>
      <c r="K105" s="360"/>
      <c r="L105" s="360"/>
      <c r="M105" s="398"/>
      <c r="O105" s="9" t="s">
        <v>200</v>
      </c>
      <c r="P105" s="54"/>
      <c r="Q105" s="10"/>
      <c r="R105" s="60" t="e">
        <f>1/B21</f>
        <v>#DIV/0!</v>
      </c>
      <c r="S105" s="470"/>
      <c r="T105" s="1"/>
      <c r="U105" s="487" t="s">
        <v>201</v>
      </c>
      <c r="V105" s="488" t="e">
        <f>IF(U98&lt;0.751,0.37-0.9*(U98-0.7),1)</f>
        <v>#DIV/0!</v>
      </c>
      <c r="W105" s="473" t="e">
        <f>IF(U98&lt;0.71,1,V105)</f>
        <v>#DIV/0!</v>
      </c>
      <c r="X105" s="488" t="e">
        <f>IF(U98&lt;0.751,0.115-0.7*(U98-0.7),1)</f>
        <v>#DIV/0!</v>
      </c>
      <c r="Y105" s="489" t="e">
        <f>IF(U98&lt;0.71,1,X105)</f>
        <v>#DIV/0!</v>
      </c>
      <c r="Z105" s="1"/>
      <c r="AA105" s="1"/>
      <c r="AB105" s="1"/>
      <c r="AC105" s="1"/>
      <c r="AD105" s="1"/>
      <c r="AE105" s="121" t="s">
        <v>168</v>
      </c>
      <c r="AF105" s="55"/>
      <c r="AG105" s="20"/>
      <c r="AH105" s="491">
        <v>0.45600000000000002</v>
      </c>
      <c r="AI105" s="119"/>
      <c r="AJ105" s="1"/>
      <c r="AK105" s="1"/>
      <c r="AL105" s="1"/>
      <c r="AM105" s="1"/>
      <c r="BM105" s="152"/>
    </row>
    <row r="106" spans="1:67" ht="18" customHeight="1" thickBot="1" x14ac:dyDescent="0.3">
      <c r="A106" s="399" t="s">
        <v>202</v>
      </c>
      <c r="B106" s="400" t="e">
        <f>IF(D78&lt;0,IF(murhøyde_inkl._fotdybde&lt;=5,B103,B90),IF(murhøyde_inkl._fotdybde&lt;=5,B97,B84))</f>
        <v>#VALUE!</v>
      </c>
      <c r="C106" s="401" t="s">
        <v>68</v>
      </c>
      <c r="D106" s="401"/>
      <c r="E106" s="402"/>
      <c r="F106" s="402"/>
      <c r="G106" s="402"/>
      <c r="H106" s="403"/>
      <c r="I106" s="402"/>
      <c r="J106" s="402"/>
      <c r="K106" s="402"/>
      <c r="L106" s="402"/>
      <c r="M106" s="404"/>
      <c r="O106" s="41" t="s">
        <v>203</v>
      </c>
      <c r="P106" s="16"/>
      <c r="Q106" s="22"/>
      <c r="R106" s="60" t="e">
        <f>ATAN(R105)*180/$R$89</f>
        <v>#DIV/0!</v>
      </c>
      <c r="S106" s="492"/>
      <c r="T106" s="1"/>
      <c r="U106" s="487" t="s">
        <v>204</v>
      </c>
      <c r="V106" s="488" t="e">
        <f>IF(U98&gt;0.751,0,1)</f>
        <v>#DIV/0!</v>
      </c>
      <c r="W106" s="473" t="e">
        <f>V106</f>
        <v>#DIV/0!</v>
      </c>
      <c r="X106" s="488" t="e">
        <f>IF(U98&gt;0.751,0,1)</f>
        <v>#DIV/0!</v>
      </c>
      <c r="Y106" s="489" t="e">
        <f>X106</f>
        <v>#DIV/0!</v>
      </c>
      <c r="Z106" s="1"/>
      <c r="AA106" s="1"/>
      <c r="AB106" s="1"/>
      <c r="AC106" s="1"/>
      <c r="AD106" s="1"/>
      <c r="AE106" s="122" t="s">
        <v>171</v>
      </c>
      <c r="AF106" s="2"/>
      <c r="AG106" s="2"/>
      <c r="AH106" s="473">
        <f>AK67</f>
        <v>0</v>
      </c>
      <c r="AI106" s="119"/>
      <c r="AJ106" s="1"/>
      <c r="AK106" s="1"/>
      <c r="AL106" s="1"/>
      <c r="AM106" s="1"/>
      <c r="BM106" s="152"/>
    </row>
    <row r="107" spans="1:67" ht="18" customHeight="1" thickBot="1" x14ac:dyDescent="0.4">
      <c r="O107" s="42" t="s">
        <v>205</v>
      </c>
      <c r="P107" s="59"/>
      <c r="Q107" s="36"/>
      <c r="R107" s="493" t="e">
        <f>R106*$R$89/180</f>
        <v>#DIV/0!</v>
      </c>
      <c r="S107" s="492"/>
      <c r="T107" s="1"/>
      <c r="U107" s="46" t="s">
        <v>206</v>
      </c>
      <c r="V107" s="47"/>
      <c r="W107" s="48" t="e">
        <f>MIN(W100:W106)</f>
        <v>#DIV/0!</v>
      </c>
      <c r="X107" s="49"/>
      <c r="Y107" s="50" t="e">
        <f>MIN(Y100:Y106)</f>
        <v>#DIV/0!</v>
      </c>
      <c r="Z107" s="1"/>
      <c r="AA107" s="1"/>
      <c r="AB107" s="1"/>
      <c r="AC107" s="1"/>
      <c r="AD107" s="1"/>
      <c r="AE107" s="123" t="s">
        <v>172</v>
      </c>
      <c r="AF107" s="35"/>
      <c r="AG107" s="35"/>
      <c r="AH107" s="474">
        <f>AH45</f>
        <v>0</v>
      </c>
      <c r="AI107" s="119"/>
      <c r="AJ107" s="1"/>
      <c r="AK107" s="1"/>
      <c r="AL107" s="1"/>
      <c r="AM107" s="1"/>
      <c r="BM107" s="152"/>
    </row>
    <row r="108" spans="1:67" ht="18" customHeight="1" thickBot="1" x14ac:dyDescent="0.4">
      <c r="O108" s="9" t="s">
        <v>207</v>
      </c>
      <c r="P108" s="54"/>
      <c r="Q108" s="10"/>
      <c r="R108" s="60" t="e">
        <f>R105/R93</f>
        <v>#DIV/0!</v>
      </c>
      <c r="S108" s="470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24" t="s">
        <v>173</v>
      </c>
      <c r="AF108" s="85"/>
      <c r="AG108" s="85"/>
      <c r="AH108" s="475">
        <f>ATAN(AH107)*180/$R$89</f>
        <v>0</v>
      </c>
      <c r="AI108" s="119"/>
      <c r="AJ108" s="1"/>
      <c r="AK108" s="1"/>
      <c r="AL108" s="1"/>
      <c r="AM108" s="1"/>
      <c r="BM108" s="152"/>
    </row>
    <row r="109" spans="1:67" ht="18" customHeight="1" x14ac:dyDescent="0.3">
      <c r="O109" s="9" t="s">
        <v>208</v>
      </c>
      <c r="P109" s="54"/>
      <c r="Q109" s="10"/>
      <c r="R109" s="60" t="e">
        <f>(1-SQRT(1-R108^2))/R108</f>
        <v>#DIV/0!</v>
      </c>
      <c r="S109" s="470"/>
      <c r="T109" s="1"/>
      <c r="U109" s="1"/>
      <c r="V109" s="1"/>
      <c r="W109" s="1"/>
      <c r="X109" s="1"/>
      <c r="Y109" s="1"/>
      <c r="Z109" s="1"/>
      <c r="AA109" s="1"/>
      <c r="AB109" s="1"/>
      <c r="AE109" s="125" t="s">
        <v>181</v>
      </c>
      <c r="AF109" s="38"/>
      <c r="AG109" s="38"/>
      <c r="AH109" s="494">
        <v>0.69259999999999999</v>
      </c>
      <c r="AI109" s="119"/>
      <c r="AJ109" s="1"/>
      <c r="AK109" s="1"/>
      <c r="AL109" s="1"/>
      <c r="AM109" s="1"/>
      <c r="BM109" s="152"/>
    </row>
    <row r="110" spans="1:67" ht="18" customHeight="1" x14ac:dyDescent="0.35">
      <c r="O110" s="41" t="s">
        <v>205</v>
      </c>
      <c r="P110" s="16"/>
      <c r="Q110" s="22"/>
      <c r="R110" s="60" t="e">
        <f>$R$89/4-R100/2</f>
        <v>#VALUE!</v>
      </c>
      <c r="S110" s="2"/>
      <c r="T110" s="82" t="s">
        <v>209</v>
      </c>
      <c r="U110" s="83"/>
      <c r="V110" s="83"/>
      <c r="W110" s="419" t="s">
        <v>210</v>
      </c>
      <c r="X110" s="419" t="s">
        <v>211</v>
      </c>
      <c r="Y110" s="1"/>
      <c r="Z110" s="1"/>
      <c r="AA110" s="1"/>
      <c r="AB110" s="1"/>
      <c r="AE110" s="126" t="s">
        <v>183</v>
      </c>
      <c r="AF110" s="15"/>
      <c r="AG110" s="15"/>
      <c r="AH110" s="473">
        <f>ATAN(AH109)*180/$R$89</f>
        <v>34.706473628529132</v>
      </c>
      <c r="AI110" s="156"/>
      <c r="BM110" s="152"/>
    </row>
    <row r="111" spans="1:67" ht="18" customHeight="1" x14ac:dyDescent="0.35">
      <c r="O111" s="40" t="s">
        <v>212</v>
      </c>
      <c r="P111" s="15"/>
      <c r="Q111" s="15"/>
      <c r="R111" s="60" t="e">
        <f>R109*TAN(R110)</f>
        <v>#DIV/0!</v>
      </c>
      <c r="S111" s="470"/>
      <c r="T111" s="420" t="s">
        <v>213</v>
      </c>
      <c r="U111" s="84"/>
      <c r="V111" s="84"/>
      <c r="W111" s="495">
        <f>IF(H40&lt;0,B16+B18,IF(B17="Ja",B16+B18,B16))</f>
        <v>0</v>
      </c>
      <c r="X111" s="495" t="str">
        <f>H40</f>
        <v xml:space="preserve"> </v>
      </c>
      <c r="Y111" s="1"/>
      <c r="Z111" s="1"/>
      <c r="AA111" s="1"/>
      <c r="AE111" s="127" t="s">
        <v>187</v>
      </c>
      <c r="AF111" s="16"/>
      <c r="AG111" s="16"/>
      <c r="AH111" s="473">
        <f>ATAN(AH109)</f>
        <v>0.60574223657441673</v>
      </c>
      <c r="AI111" s="156"/>
      <c r="AZ111" s="153"/>
      <c r="BO111" s="152"/>
    </row>
    <row r="112" spans="1:67" ht="18" customHeight="1" x14ac:dyDescent="0.3">
      <c r="B112" s="148"/>
      <c r="C112"/>
      <c r="O112" s="4"/>
      <c r="P112" s="4"/>
      <c r="Q112" s="4"/>
      <c r="R112" s="3"/>
      <c r="S112" s="81"/>
      <c r="T112" s="1"/>
      <c r="U112" s="1"/>
      <c r="V112" s="1"/>
      <c r="W112" s="1"/>
      <c r="X112" s="1"/>
      <c r="Y112" s="1"/>
      <c r="Z112" s="1"/>
      <c r="AA112" s="1"/>
      <c r="AB112" s="1"/>
      <c r="AE112" s="128" t="s">
        <v>189</v>
      </c>
      <c r="AF112" s="14"/>
      <c r="AG112" s="14"/>
      <c r="AH112" s="473">
        <f>1/(AH105+0.00001)*(1-SQRT(1-(AH105)^2))</f>
        <v>0.24126713218767948</v>
      </c>
      <c r="AI112" s="156"/>
      <c r="AZ112" s="153"/>
      <c r="BO112" s="152"/>
    </row>
    <row r="113" spans="15:67" ht="18" customHeight="1" x14ac:dyDescent="0.35">
      <c r="O113" s="6" t="s">
        <v>214</v>
      </c>
      <c r="P113" s="52"/>
      <c r="Q113" s="8"/>
      <c r="R113" s="496" t="e">
        <f>1/(SQRT(1+(R93)^2)+R93*SQRT(R92))^2</f>
        <v>#VALUE!</v>
      </c>
      <c r="S113" s="470"/>
      <c r="T113" s="1" t="s">
        <v>215</v>
      </c>
      <c r="AE113" s="129" t="s">
        <v>191</v>
      </c>
      <c r="AF113" s="57"/>
      <c r="AG113" s="21"/>
      <c r="AH113" s="473">
        <f>AH114*180/$R$89</f>
        <v>24.73011108200453</v>
      </c>
      <c r="AI113" s="156"/>
      <c r="AZ113" s="153"/>
      <c r="BO113" s="152"/>
    </row>
    <row r="114" spans="15:67" ht="18" customHeight="1" x14ac:dyDescent="0.35">
      <c r="O114" s="6" t="s">
        <v>216</v>
      </c>
      <c r="P114" s="52"/>
      <c r="Q114" s="8"/>
      <c r="R114" s="496" t="e">
        <f>+((faktor_N+1)+(faktor_N-1)*COS(2*omega_radianer))*EXP((pi-2*omega_radianer)*tanro_under_mur)/2</f>
        <v>#VALUE!</v>
      </c>
      <c r="S114" s="2"/>
      <c r="T114" s="1"/>
      <c r="AE114" s="127" t="s">
        <v>193</v>
      </c>
      <c r="AF114" s="16"/>
      <c r="AG114" s="22"/>
      <c r="AH114" s="473">
        <f>ATAN(AH112*TAN(PI()*0.25+0.5*AH111))</f>
        <v>0.43162186276491643</v>
      </c>
      <c r="AI114" s="156"/>
      <c r="AZ114" s="153"/>
      <c r="BO114" s="152"/>
    </row>
    <row r="115" spans="15:67" ht="18" customHeight="1" x14ac:dyDescent="0.3">
      <c r="O115" s="6" t="s">
        <v>217</v>
      </c>
      <c r="P115" s="52"/>
      <c r="Q115" s="8"/>
      <c r="R115" s="497" t="e">
        <f>AB95</f>
        <v>#VALUE!</v>
      </c>
      <c r="S115" s="2"/>
      <c r="T115" s="138" t="s">
        <v>218</v>
      </c>
      <c r="U115" s="158"/>
      <c r="V115" s="158"/>
      <c r="W115" s="158"/>
      <c r="X115" s="158"/>
      <c r="Y115" s="158"/>
      <c r="Z115" s="158"/>
      <c r="AA115" s="158"/>
      <c r="AB115" s="159"/>
      <c r="AE115" s="130" t="s">
        <v>115</v>
      </c>
      <c r="AF115" s="56"/>
      <c r="AG115" s="24"/>
      <c r="AH115" s="473">
        <f>(1+SIN(AH110*PI()/180))/(1-SIN(AH110*PI()/180))</f>
        <v>3.6443842651211327</v>
      </c>
      <c r="AI115" s="156"/>
      <c r="AZ115" s="153"/>
      <c r="BO115" s="152"/>
    </row>
    <row r="116" spans="15:67" ht="18" customHeight="1" x14ac:dyDescent="0.35">
      <c r="O116" s="6" t="s">
        <v>219</v>
      </c>
      <c r="P116" s="52"/>
      <c r="Q116" s="8"/>
      <c r="R116" s="498">
        <f>IF(B21&lt;&gt;0,AD100,1)</f>
        <v>1</v>
      </c>
      <c r="S116" s="452"/>
      <c r="T116" s="139" t="s">
        <v>220</v>
      </c>
      <c r="AB116" s="163"/>
      <c r="AE116" s="499" t="s">
        <v>200</v>
      </c>
      <c r="AF116" s="54"/>
      <c r="AG116" s="10"/>
      <c r="AH116" s="60" t="e">
        <f>1/AH36</f>
        <v>#DIV/0!</v>
      </c>
      <c r="AI116" s="156"/>
      <c r="AZ116" s="153"/>
      <c r="BO116" s="152"/>
    </row>
    <row r="117" spans="15:67" ht="18" customHeight="1" x14ac:dyDescent="0.35">
      <c r="O117" s="6" t="s">
        <v>221</v>
      </c>
      <c r="P117" s="52"/>
      <c r="Q117" s="8"/>
      <c r="R117" s="498">
        <f>IF(B21&lt;&gt;0,AC100,1)</f>
        <v>1</v>
      </c>
      <c r="S117" s="500"/>
      <c r="T117" s="139" t="s">
        <v>222</v>
      </c>
      <c r="AB117" s="163"/>
      <c r="AE117" s="127" t="s">
        <v>203</v>
      </c>
      <c r="AF117" s="16"/>
      <c r="AG117" s="22"/>
      <c r="AH117" s="60" t="e">
        <f>ATAN(AH116)*180/$R$89</f>
        <v>#DIV/0!</v>
      </c>
      <c r="AI117" s="156"/>
      <c r="AZ117" s="153"/>
      <c r="BO117" s="152"/>
    </row>
    <row r="118" spans="15:67" ht="18" customHeight="1" x14ac:dyDescent="0.35">
      <c r="O118" s="2"/>
      <c r="P118" s="2"/>
      <c r="Q118" s="2"/>
      <c r="R118" s="2"/>
      <c r="S118" s="500"/>
      <c r="T118" s="144" t="s">
        <v>223</v>
      </c>
      <c r="U118" s="5">
        <f>IF(db_helning_av_bakkant_mur&lt;0,ABS(1/db_helning_av_bakkant_mur)*spesifikk_tyngde_bak_muren*murhøyde_inkl._fotdybde/2+(murens_bredde_ved_bunn+murens_bredde_øverst)*murhøyde_inkl._fotdybde*spes._tyngde_for_muren/2,(murens_bredde_ved_bunn+murens_bredde_øverst)*murhøyde_inkl._fotdybde*spes._tyngde_for_muren/2)</f>
        <v>0</v>
      </c>
      <c r="AB118" s="163"/>
      <c r="AE118" s="131" t="s">
        <v>205</v>
      </c>
      <c r="AF118" s="59"/>
      <c r="AG118" s="36"/>
      <c r="AH118" s="493" t="e">
        <f>AH117*$R$89/180</f>
        <v>#DIV/0!</v>
      </c>
      <c r="AI118" s="156"/>
      <c r="AZ118" s="153"/>
      <c r="BO118" s="152"/>
    </row>
    <row r="119" spans="15:67" ht="18" customHeight="1" x14ac:dyDescent="0.35">
      <c r="O119" s="25" t="s">
        <v>224</v>
      </c>
      <c r="P119" s="53"/>
      <c r="Q119" s="157"/>
      <c r="R119" s="498">
        <f>B16+B18</f>
        <v>0</v>
      </c>
      <c r="S119" s="500"/>
      <c r="T119" s="139"/>
      <c r="AB119" s="163"/>
      <c r="AE119" s="499" t="s">
        <v>207</v>
      </c>
      <c r="AF119" s="54"/>
      <c r="AG119" s="10"/>
      <c r="AH119" s="60" t="e">
        <f>AH116/AH107</f>
        <v>#DIV/0!</v>
      </c>
      <c r="AI119" s="156"/>
      <c r="AZ119" s="153"/>
      <c r="BO119" s="152"/>
    </row>
    <row r="120" spans="15:67" ht="18" customHeight="1" x14ac:dyDescent="0.3">
      <c r="O120" s="25" t="str">
        <f>IF(B25="Nei","Beregning av b0= 0.90*(bb+bx)-2*e","Beregning av b0= (bb+bx)-2*e")</f>
        <v>Beregning av b0= 0.90*(bb+bx)-2*e</v>
      </c>
      <c r="P120" s="53"/>
      <c r="Q120" s="157"/>
      <c r="R120" s="501" t="str">
        <f>IF(B24&lt;&gt;0,IF(B17="Nei",0.9*(W111)-2*H40,W111-2*H40)," ")</f>
        <v xml:space="preserve"> </v>
      </c>
      <c r="S120" s="502"/>
      <c r="T120" s="144" t="s">
        <v>225</v>
      </c>
      <c r="AB120" s="163"/>
      <c r="AE120" s="499" t="s">
        <v>208</v>
      </c>
      <c r="AF120" s="54"/>
      <c r="AG120" s="10"/>
      <c r="AH120" s="60" t="e">
        <f>(1-SQRT(1-AH119^2))/AH119</f>
        <v>#DIV/0!</v>
      </c>
      <c r="AI120" s="156"/>
      <c r="AZ120" s="153"/>
      <c r="BO120" s="152"/>
    </row>
    <row r="121" spans="15:67" ht="18" customHeight="1" x14ac:dyDescent="0.35">
      <c r="O121" s="25" t="s">
        <v>226</v>
      </c>
      <c r="P121" s="53"/>
      <c r="Q121" s="157"/>
      <c r="R121" s="498">
        <f>IF(R120&gt;R119,R119,R120)</f>
        <v>0</v>
      </c>
      <c r="S121" s="452"/>
      <c r="T121" s="139"/>
      <c r="AB121" s="163"/>
      <c r="AE121" s="127" t="s">
        <v>205</v>
      </c>
      <c r="AF121" s="16"/>
      <c r="AG121" s="22"/>
      <c r="AH121" s="60">
        <f>$R$89/4-AH111/2</f>
        <v>0.48252704511023992</v>
      </c>
      <c r="AI121" s="156"/>
      <c r="AZ121" s="153"/>
      <c r="BO121" s="152"/>
    </row>
    <row r="122" spans="15:67" ht="18" customHeight="1" x14ac:dyDescent="0.3">
      <c r="O122" s="548" t="s">
        <v>227</v>
      </c>
      <c r="P122" s="548"/>
      <c r="Q122" s="424" t="s">
        <v>228</v>
      </c>
      <c r="R122" s="425" t="s">
        <v>175</v>
      </c>
      <c r="S122" s="502"/>
      <c r="T122" s="139"/>
      <c r="AB122" s="163"/>
      <c r="AE122" s="126" t="s">
        <v>212</v>
      </c>
      <c r="AF122" s="15"/>
      <c r="AG122" s="15"/>
      <c r="AH122" s="60" t="e">
        <f>AH120*TAN(AH121)</f>
        <v>#DIV/0!</v>
      </c>
      <c r="AI122" s="156"/>
      <c r="AZ122" s="153"/>
      <c r="BO122" s="152"/>
    </row>
    <row r="123" spans="15:67" ht="18" customHeight="1" x14ac:dyDescent="0.2">
      <c r="O123" s="548"/>
      <c r="P123" s="548"/>
      <c r="Q123" s="424" t="s">
        <v>229</v>
      </c>
      <c r="R123" s="425" t="s">
        <v>49</v>
      </c>
      <c r="S123" s="74"/>
      <c r="T123" s="140"/>
      <c r="AB123" s="163"/>
      <c r="AE123" s="168"/>
      <c r="AI123" s="156"/>
      <c r="AZ123" s="153"/>
      <c r="BO123" s="152"/>
    </row>
    <row r="124" spans="15:67" ht="18" customHeight="1" x14ac:dyDescent="0.35">
      <c r="O124" s="513" t="s">
        <v>252</v>
      </c>
      <c r="P124" s="514"/>
      <c r="Q124" s="515"/>
      <c r="R124" s="516">
        <f>IF(B17="Ja",(murens_bredde_ved_bunn)-2*(murens_bredde_ved_bunn)/6,0.9*murens_bredde_ved_bunn-2*murens_bredde_ved_bunn/6)</f>
        <v>0</v>
      </c>
      <c r="S124" s="71"/>
      <c r="T124" s="141"/>
      <c r="U124" s="148"/>
      <c r="V124" s="149"/>
      <c r="AB124" s="163"/>
      <c r="AE124" s="169" t="s">
        <v>230</v>
      </c>
      <c r="AH124" s="496">
        <f>+((AH115+1)+(AH115-1)*COS(2*AH114))*EXP((pi-2*AH114)*AH109)/2</f>
        <v>15.415353256846361</v>
      </c>
      <c r="AI124" s="156"/>
      <c r="AZ124" s="153"/>
      <c r="BO124" s="152"/>
    </row>
    <row r="125" spans="15:67" ht="18" customHeight="1" thickBot="1" x14ac:dyDescent="0.4">
      <c r="O125" s="513" t="s">
        <v>251</v>
      </c>
      <c r="P125" s="514"/>
      <c r="Q125" s="515"/>
      <c r="R125" s="516" t="str">
        <f>IF(R121&gt;=R124,"OK","Ikke OK")</f>
        <v>OK</v>
      </c>
      <c r="S125" s="74"/>
      <c r="T125" s="142"/>
      <c r="U125" s="172"/>
      <c r="AB125" s="163"/>
      <c r="AE125" s="173"/>
      <c r="AF125" s="174"/>
      <c r="AG125" s="174"/>
      <c r="AH125" s="174"/>
      <c r="AI125" s="175"/>
      <c r="AZ125" s="153"/>
      <c r="BO125" s="152"/>
    </row>
    <row r="126" spans="15:67" ht="18" customHeight="1" thickTop="1" x14ac:dyDescent="0.2">
      <c r="O126" s="517" t="s">
        <v>250</v>
      </c>
      <c r="P126" s="514"/>
      <c r="Q126" s="515"/>
      <c r="R126" s="516" t="str">
        <f>IF(e_vertikalresultantens_eksentrisitet&lt;=0.9*(murens_bredde_ved_bunn+ekstra_bredde_av_bunnblokk_er)/3,"OK","Ikke OK")</f>
        <v>Ikke OK</v>
      </c>
      <c r="S126" s="1"/>
      <c r="T126" s="143"/>
      <c r="U126" s="177"/>
      <c r="V126" s="178"/>
      <c r="W126" s="178"/>
      <c r="X126" s="178"/>
      <c r="Y126" s="178"/>
      <c r="Z126" s="178"/>
      <c r="AA126" s="178"/>
      <c r="AB126" s="179"/>
      <c r="AZ126" s="153"/>
      <c r="BO126" s="152"/>
    </row>
    <row r="127" spans="15:67" ht="18" customHeight="1" x14ac:dyDescent="0.2">
      <c r="S127" s="29"/>
      <c r="T127" s="43"/>
      <c r="U127" s="149"/>
      <c r="AZ127" s="153"/>
      <c r="BO127" s="152"/>
    </row>
    <row r="128" spans="15:67" ht="18" customHeight="1" x14ac:dyDescent="0.2">
      <c r="O128" s="148" t="s">
        <v>231</v>
      </c>
      <c r="P128" s="148"/>
      <c r="Q128" s="148"/>
      <c r="R128" s="2"/>
      <c r="S128" s="29"/>
      <c r="U128" s="149"/>
      <c r="AZ128" s="153"/>
      <c r="BO128" s="152"/>
    </row>
    <row r="129" spans="15:67" ht="18" customHeight="1" x14ac:dyDescent="0.2">
      <c r="O129" s="160" t="s">
        <v>232</v>
      </c>
      <c r="P129" s="161"/>
      <c r="Q129" s="162"/>
      <c r="R129" s="503" t="e">
        <f>ATAN(B30)</f>
        <v>#VALUE!</v>
      </c>
      <c r="U129" s="149"/>
      <c r="AZ129" s="153"/>
      <c r="BO129" s="152"/>
    </row>
    <row r="130" spans="15:67" ht="18" customHeight="1" x14ac:dyDescent="0.2">
      <c r="O130" s="160" t="s">
        <v>233</v>
      </c>
      <c r="P130" s="161"/>
      <c r="Q130" s="162"/>
      <c r="R130" s="504" t="e">
        <f>R129*180/PI()</f>
        <v>#VALUE!</v>
      </c>
      <c r="U130" s="149"/>
      <c r="AZ130" s="153"/>
      <c r="BO130" s="152"/>
    </row>
    <row r="131" spans="15:67" ht="18" customHeight="1" x14ac:dyDescent="0.35">
      <c r="O131" s="160" t="s">
        <v>234</v>
      </c>
      <c r="P131" s="161"/>
      <c r="Q131" s="162"/>
      <c r="R131" s="504" t="e">
        <f>90-R130</f>
        <v>#VALUE!</v>
      </c>
      <c r="S131" s="1"/>
      <c r="U131" s="149"/>
      <c r="AZ131" s="153"/>
      <c r="BO131" s="152"/>
    </row>
    <row r="132" spans="15:67" ht="18" customHeight="1" x14ac:dyDescent="0.2">
      <c r="O132" s="160" t="s">
        <v>235</v>
      </c>
      <c r="P132" s="161"/>
      <c r="Q132" s="162"/>
      <c r="R132" s="504" t="e">
        <f>R94</f>
        <v>#VALUE!</v>
      </c>
      <c r="U132" s="149"/>
      <c r="AZ132" s="153"/>
      <c r="BO132" s="152"/>
    </row>
    <row r="133" spans="15:67" ht="18" customHeight="1" x14ac:dyDescent="0.25">
      <c r="O133" s="164" t="s">
        <v>236</v>
      </c>
      <c r="P133" s="165"/>
      <c r="Q133" s="166"/>
      <c r="R133" s="505" t="e">
        <f>R131*PI()/180</f>
        <v>#VALUE!</v>
      </c>
      <c r="U133" s="149"/>
      <c r="AZ133" s="153"/>
      <c r="BO133" s="152"/>
    </row>
    <row r="134" spans="15:67" ht="18" customHeight="1" x14ac:dyDescent="0.2">
      <c r="O134" s="164" t="s">
        <v>237</v>
      </c>
      <c r="P134" s="165"/>
      <c r="Q134" s="166"/>
      <c r="R134" s="506" t="e">
        <f>R132*PI()/180</f>
        <v>#VALUE!</v>
      </c>
      <c r="U134" s="149"/>
      <c r="AZ134" s="153"/>
      <c r="BO134" s="152"/>
    </row>
    <row r="135" spans="15:67" ht="18" customHeight="1" x14ac:dyDescent="0.4">
      <c r="O135" s="164" t="s">
        <v>238</v>
      </c>
      <c r="P135" s="165"/>
      <c r="Q135" s="167"/>
      <c r="R135" s="505" t="e">
        <f>COS(R133+R134)^2/(COS(R133)^3*COS(R134)^2)</f>
        <v>#VALUE!</v>
      </c>
      <c r="U135" s="149"/>
      <c r="AZ135" s="153"/>
      <c r="BO135" s="152"/>
    </row>
    <row r="136" spans="15:67" ht="18" customHeight="1" x14ac:dyDescent="0.2">
      <c r="U136" s="149"/>
      <c r="AZ136" s="153"/>
      <c r="BO136" s="152"/>
    </row>
    <row r="137" spans="15:67" ht="18" customHeight="1" x14ac:dyDescent="0.35">
      <c r="O137" s="25" t="s">
        <v>239</v>
      </c>
      <c r="P137" s="170"/>
      <c r="Q137" s="171"/>
      <c r="R137" s="75" t="s">
        <v>240</v>
      </c>
      <c r="U137" s="149"/>
      <c r="AZ137" s="153"/>
      <c r="BO137" s="152"/>
    </row>
    <row r="138" spans="15:67" ht="18" customHeight="1" x14ac:dyDescent="0.25">
      <c r="O138" s="25" t="s">
        <v>241</v>
      </c>
      <c r="P138" s="176"/>
      <c r="Q138" s="171"/>
      <c r="R138" s="76"/>
      <c r="U138" s="149"/>
      <c r="AZ138" s="153"/>
      <c r="BO138" s="152"/>
    </row>
    <row r="139" spans="15:67" ht="18" customHeight="1" x14ac:dyDescent="0.25">
      <c r="O139" s="25" t="s">
        <v>242</v>
      </c>
      <c r="P139" s="176"/>
      <c r="Q139" s="507"/>
      <c r="R139" s="508"/>
      <c r="U139" s="149"/>
      <c r="AZ139" s="153"/>
      <c r="BO139" s="152"/>
    </row>
    <row r="140" spans="15:67" ht="18" customHeight="1" x14ac:dyDescent="0.25">
      <c r="O140" s="25" t="s">
        <v>243</v>
      </c>
      <c r="P140" s="176"/>
      <c r="Q140" s="171"/>
      <c r="R140" s="509" t="str">
        <f>IF(H9&lt;32,"Leire","Grus")</f>
        <v>Leire</v>
      </c>
      <c r="S140" s="510"/>
      <c r="T140" s="73" t="str">
        <f>IF(B21=0,"Flatt terreng",IF(B21&lt;10,"Skått terreng","Flatt terreng"))</f>
        <v>Flatt terreng</v>
      </c>
      <c r="U140" s="149"/>
      <c r="AZ140" s="153"/>
      <c r="BO140" s="152"/>
    </row>
    <row r="141" spans="15:67" ht="18" customHeight="1" x14ac:dyDescent="0.35">
      <c r="O141" s="25" t="s">
        <v>244</v>
      </c>
      <c r="P141" s="176"/>
      <c r="Q141" s="171"/>
      <c r="R141" s="72">
        <f>IF(B21=0,0.8,IF(B21&lt;10,0.7,0.8))</f>
        <v>0.8</v>
      </c>
      <c r="S141" s="511"/>
      <c r="T141" s="73" t="str">
        <f>IF(B21=0,"Flatt terreng",IF(B21&lt;10,"Skått terreng","Flatt terreng"))</f>
        <v>Flatt terreng</v>
      </c>
      <c r="U141" s="149"/>
      <c r="AZ141" s="153"/>
      <c r="BO141" s="152"/>
    </row>
    <row r="142" spans="15:67" ht="18" customHeight="1" x14ac:dyDescent="0.35">
      <c r="O142" s="25" t="s">
        <v>245</v>
      </c>
      <c r="P142" s="176"/>
      <c r="Q142" s="171"/>
      <c r="R142" s="72">
        <f>IF(B21=0,0.9,IF(B21&lt;10,0.8,0.9))</f>
        <v>0.9</v>
      </c>
      <c r="U142" s="149"/>
      <c r="AZ142" s="153"/>
      <c r="BO142" s="152"/>
    </row>
    <row r="143" spans="15:67" ht="18" customHeight="1" x14ac:dyDescent="0.35">
      <c r="O143" s="25" t="s">
        <v>246</v>
      </c>
      <c r="P143" s="176"/>
      <c r="Q143" s="180"/>
      <c r="R143" s="72">
        <f>IF(H9&lt;32,R141,R142)</f>
        <v>0.8</v>
      </c>
      <c r="U143" s="149"/>
      <c r="AZ143" s="153"/>
      <c r="BO143" s="152"/>
    </row>
    <row r="144" spans="15:67" ht="18" customHeight="1" x14ac:dyDescent="0.2">
      <c r="P144" s="148"/>
      <c r="U144" s="149"/>
      <c r="AZ144" s="153"/>
      <c r="BO144" s="152"/>
    </row>
    <row r="145" spans="15:67" ht="18" customHeight="1" x14ac:dyDescent="0.2">
      <c r="O145" s="544" t="str">
        <f>IF(materialfaktor&lt;&gt;0,IF(B25="Nei",Q123,Q122)," ")</f>
        <v xml:space="preserve"> </v>
      </c>
      <c r="P145" s="542"/>
      <c r="Q145" s="542"/>
      <c r="R145" s="543"/>
      <c r="S145" t="str">
        <f>IF(materialfaktor&lt;&gt;0,bo_effektiv_fundamentbredde/(murens_bredde_ved_bunn+ekstra_bredde_av_bunnblokk_er)," ")</f>
        <v xml:space="preserve"> </v>
      </c>
      <c r="U145" s="149"/>
      <c r="AZ145" s="153"/>
      <c r="BO145" s="152"/>
    </row>
    <row r="146" spans="15:67" ht="18" customHeight="1" x14ac:dyDescent="0.2">
      <c r="P146" s="148"/>
      <c r="U146" s="149"/>
      <c r="AZ146" s="153"/>
      <c r="BO146" s="152"/>
    </row>
    <row r="147" spans="15:67" ht="18" customHeight="1" x14ac:dyDescent="0.2">
      <c r="P147" s="148"/>
      <c r="U147" s="149"/>
      <c r="AZ147" s="153"/>
      <c r="BO147" s="152"/>
    </row>
    <row r="148" spans="15:67" ht="18" customHeight="1" x14ac:dyDescent="0.2">
      <c r="P148" s="148"/>
      <c r="U148" s="149"/>
      <c r="AZ148" s="153"/>
      <c r="BO148" s="152"/>
    </row>
    <row r="149" spans="15:67" ht="18" customHeight="1" x14ac:dyDescent="0.2">
      <c r="P149" s="148"/>
      <c r="U149" s="149"/>
      <c r="AZ149" s="153"/>
      <c r="BO149" s="152"/>
    </row>
    <row r="150" spans="15:67" ht="18" customHeight="1" x14ac:dyDescent="0.2">
      <c r="P150" s="148"/>
      <c r="U150" s="149"/>
      <c r="AZ150" s="153"/>
      <c r="BO150" s="152"/>
    </row>
    <row r="151" spans="15:67" ht="18" customHeight="1" x14ac:dyDescent="0.2">
      <c r="P151" s="148"/>
      <c r="U151" s="149"/>
      <c r="AZ151" s="153"/>
      <c r="BO151" s="152"/>
    </row>
    <row r="152" spans="15:67" ht="18" customHeight="1" x14ac:dyDescent="0.2">
      <c r="P152" s="148"/>
      <c r="U152" s="149"/>
      <c r="AZ152" s="153"/>
      <c r="BO152" s="152"/>
    </row>
    <row r="153" spans="15:67" ht="18" customHeight="1" x14ac:dyDescent="0.2">
      <c r="P153" s="148"/>
      <c r="U153" s="149"/>
      <c r="AZ153" s="153"/>
      <c r="BO153" s="152"/>
    </row>
    <row r="154" spans="15:67" ht="18" customHeight="1" x14ac:dyDescent="0.2">
      <c r="P154" s="148"/>
      <c r="U154" s="149"/>
      <c r="AZ154" s="153"/>
      <c r="BO154" s="152"/>
    </row>
    <row r="155" spans="15:67" ht="18" customHeight="1" x14ac:dyDescent="0.2">
      <c r="P155" s="148"/>
      <c r="U155" s="149"/>
      <c r="AZ155" s="153"/>
      <c r="BO155" s="152"/>
    </row>
    <row r="156" spans="15:67" ht="18" customHeight="1" x14ac:dyDescent="0.2">
      <c r="P156" s="148"/>
      <c r="U156" s="149"/>
      <c r="AZ156" s="153"/>
      <c r="BO156" s="152"/>
    </row>
    <row r="157" spans="15:67" ht="18" customHeight="1" x14ac:dyDescent="0.2">
      <c r="P157" s="148"/>
      <c r="U157" s="149"/>
      <c r="AZ157" s="153"/>
      <c r="BO157" s="152"/>
    </row>
    <row r="158" spans="15:67" ht="18" customHeight="1" x14ac:dyDescent="0.2">
      <c r="P158" s="148"/>
      <c r="U158" s="149"/>
      <c r="AZ158" s="153"/>
      <c r="BO158" s="152"/>
    </row>
    <row r="159" spans="15:67" ht="18" customHeight="1" x14ac:dyDescent="0.2">
      <c r="P159" s="148"/>
      <c r="U159" s="149"/>
      <c r="AZ159" s="153"/>
      <c r="BO159" s="152"/>
    </row>
    <row r="160" spans="15:67" ht="18" customHeight="1" x14ac:dyDescent="0.2">
      <c r="P160" s="148"/>
      <c r="U160" s="149"/>
      <c r="AZ160" s="153"/>
      <c r="BO160" s="152"/>
    </row>
    <row r="161" spans="16:67" ht="18" customHeight="1" x14ac:dyDescent="0.2">
      <c r="P161" s="148"/>
      <c r="U161" s="149"/>
      <c r="AZ161" s="153"/>
      <c r="BO161" s="152"/>
    </row>
    <row r="162" spans="16:67" ht="18" customHeight="1" x14ac:dyDescent="0.2">
      <c r="P162" s="148"/>
      <c r="U162" s="149"/>
      <c r="AZ162" s="153"/>
      <c r="BO162" s="152"/>
    </row>
    <row r="163" spans="16:67" ht="18" customHeight="1" x14ac:dyDescent="0.2">
      <c r="P163" s="148"/>
      <c r="U163" s="149"/>
      <c r="AZ163" s="153"/>
      <c r="BO163" s="152"/>
    </row>
    <row r="164" spans="16:67" ht="18" customHeight="1" x14ac:dyDescent="0.2">
      <c r="P164" s="148"/>
      <c r="U164" s="149"/>
      <c r="AZ164" s="153"/>
      <c r="BO164" s="152"/>
    </row>
    <row r="165" spans="16:67" ht="18" customHeight="1" x14ac:dyDescent="0.2">
      <c r="P165" s="148"/>
      <c r="U165" s="149"/>
      <c r="AZ165" s="153"/>
      <c r="BO165" s="152"/>
    </row>
    <row r="166" spans="16:67" ht="18" customHeight="1" x14ac:dyDescent="0.2">
      <c r="P166" s="148"/>
      <c r="U166" s="149"/>
      <c r="AZ166" s="153"/>
      <c r="BO166" s="152"/>
    </row>
    <row r="167" spans="16:67" ht="18" customHeight="1" x14ac:dyDescent="0.2">
      <c r="P167" s="148"/>
      <c r="U167" s="149"/>
      <c r="AZ167" s="153"/>
      <c r="BO167" s="152"/>
    </row>
    <row r="168" spans="16:67" ht="18" customHeight="1" x14ac:dyDescent="0.2">
      <c r="P168" s="148"/>
      <c r="U168" s="149"/>
      <c r="AZ168" s="153"/>
      <c r="BO168" s="152"/>
    </row>
    <row r="169" spans="16:67" ht="18" customHeight="1" x14ac:dyDescent="0.2">
      <c r="P169" s="148"/>
      <c r="U169" s="149"/>
      <c r="AZ169" s="153"/>
      <c r="BO169" s="152"/>
    </row>
    <row r="170" spans="16:67" ht="18" customHeight="1" x14ac:dyDescent="0.2">
      <c r="P170" s="148"/>
      <c r="U170" s="149"/>
      <c r="AZ170" s="153"/>
      <c r="BO170" s="152"/>
    </row>
    <row r="171" spans="16:67" ht="18" customHeight="1" x14ac:dyDescent="0.2">
      <c r="P171" s="148"/>
      <c r="U171" s="149"/>
      <c r="AZ171" s="153"/>
      <c r="BO171" s="152"/>
    </row>
    <row r="172" spans="16:67" ht="18" customHeight="1" x14ac:dyDescent="0.2">
      <c r="P172" s="148"/>
      <c r="U172" s="149"/>
      <c r="AZ172" s="153"/>
      <c r="BO172" s="152"/>
    </row>
    <row r="173" spans="16:67" ht="18" customHeight="1" x14ac:dyDescent="0.2">
      <c r="P173" s="148"/>
      <c r="U173" s="149"/>
      <c r="AZ173" s="153"/>
      <c r="BO173" s="152"/>
    </row>
    <row r="174" spans="16:67" ht="18" customHeight="1" x14ac:dyDescent="0.2">
      <c r="P174" s="148"/>
      <c r="U174" s="149"/>
      <c r="AZ174" s="153"/>
      <c r="BO174" s="152"/>
    </row>
    <row r="175" spans="16:67" ht="18" customHeight="1" x14ac:dyDescent="0.2">
      <c r="P175" s="148"/>
      <c r="U175" s="149"/>
      <c r="AZ175" s="153"/>
      <c r="BO175" s="152"/>
    </row>
    <row r="176" spans="16:67" ht="18" customHeight="1" x14ac:dyDescent="0.2">
      <c r="P176" s="148"/>
      <c r="U176" s="149"/>
      <c r="AZ176" s="153"/>
      <c r="BO176" s="152"/>
    </row>
    <row r="177" spans="16:67" ht="18" customHeight="1" x14ac:dyDescent="0.2">
      <c r="P177" s="148"/>
      <c r="U177" s="149"/>
      <c r="AZ177" s="153"/>
      <c r="BO177" s="152"/>
    </row>
    <row r="178" spans="16:67" ht="18" customHeight="1" x14ac:dyDescent="0.2">
      <c r="P178" s="148"/>
      <c r="U178" s="149"/>
      <c r="AZ178" s="153"/>
      <c r="BO178" s="152"/>
    </row>
    <row r="179" spans="16:67" ht="18" customHeight="1" x14ac:dyDescent="0.2">
      <c r="P179" s="148"/>
      <c r="U179" s="149"/>
      <c r="AZ179" s="153"/>
      <c r="BO179" s="152"/>
    </row>
    <row r="180" spans="16:67" ht="18" customHeight="1" x14ac:dyDescent="0.2">
      <c r="P180" s="148"/>
      <c r="U180" s="149"/>
      <c r="AZ180" s="153"/>
      <c r="BO180" s="152"/>
    </row>
    <row r="181" spans="16:67" ht="18" customHeight="1" x14ac:dyDescent="0.2">
      <c r="P181" s="148"/>
      <c r="U181" s="149"/>
      <c r="AZ181" s="153"/>
      <c r="BO181" s="152"/>
    </row>
    <row r="182" spans="16:67" ht="18" customHeight="1" x14ac:dyDescent="0.2">
      <c r="P182" s="148"/>
      <c r="U182" s="149"/>
      <c r="AZ182" s="153"/>
      <c r="BO182" s="152"/>
    </row>
    <row r="183" spans="16:67" ht="18" customHeight="1" x14ac:dyDescent="0.2">
      <c r="P183" s="148"/>
      <c r="U183" s="149"/>
      <c r="AZ183" s="153"/>
      <c r="BO183" s="152"/>
    </row>
    <row r="184" spans="16:67" ht="18" customHeight="1" x14ac:dyDescent="0.2">
      <c r="P184" s="148"/>
      <c r="U184" s="149"/>
      <c r="AZ184" s="153"/>
      <c r="BO184" s="152"/>
    </row>
    <row r="185" spans="16:67" ht="18" customHeight="1" x14ac:dyDescent="0.2">
      <c r="P185" s="148"/>
      <c r="U185" s="149"/>
      <c r="AZ185" s="153"/>
      <c r="BO185" s="152"/>
    </row>
    <row r="186" spans="16:67" ht="18" customHeight="1" x14ac:dyDescent="0.2">
      <c r="P186" s="148"/>
      <c r="U186" s="149"/>
      <c r="AZ186" s="153"/>
      <c r="BO186" s="152"/>
    </row>
    <row r="187" spans="16:67" ht="18" customHeight="1" x14ac:dyDescent="0.2">
      <c r="P187" s="148"/>
      <c r="U187" s="149"/>
      <c r="AZ187" s="153"/>
      <c r="BO187" s="152"/>
    </row>
    <row r="188" spans="16:67" ht="18" customHeight="1" x14ac:dyDescent="0.2">
      <c r="P188" s="148"/>
      <c r="U188" s="149"/>
      <c r="AZ188" s="153"/>
      <c r="BO188" s="152"/>
    </row>
    <row r="189" spans="16:67" ht="18" customHeight="1" x14ac:dyDescent="0.2">
      <c r="P189" s="148"/>
      <c r="U189" s="149"/>
      <c r="AZ189" s="153"/>
      <c r="BO189" s="152"/>
    </row>
    <row r="190" spans="16:67" ht="18" customHeight="1" x14ac:dyDescent="0.2">
      <c r="P190" s="148"/>
      <c r="U190" s="149"/>
      <c r="AZ190" s="153"/>
      <c r="BO190" s="152"/>
    </row>
    <row r="191" spans="16:67" ht="18" customHeight="1" x14ac:dyDescent="0.2">
      <c r="P191" s="148"/>
      <c r="U191" s="149"/>
      <c r="AZ191" s="153"/>
      <c r="BO191" s="152"/>
    </row>
    <row r="192" spans="16:67" ht="18" customHeight="1" x14ac:dyDescent="0.2">
      <c r="P192" s="148"/>
      <c r="U192" s="149"/>
      <c r="AZ192" s="153"/>
      <c r="BO192" s="152"/>
    </row>
    <row r="193" spans="16:67" ht="18" customHeight="1" x14ac:dyDescent="0.2">
      <c r="P193" s="148"/>
      <c r="U193" s="149"/>
      <c r="AZ193" s="153"/>
      <c r="BO193" s="152"/>
    </row>
    <row r="194" spans="16:67" ht="18" customHeight="1" x14ac:dyDescent="0.2">
      <c r="P194" s="148"/>
      <c r="U194" s="149"/>
      <c r="AZ194" s="153"/>
      <c r="BO194" s="152"/>
    </row>
    <row r="195" spans="16:67" ht="18" customHeight="1" x14ac:dyDescent="0.2">
      <c r="P195" s="148"/>
      <c r="U195" s="149"/>
      <c r="AZ195" s="153"/>
      <c r="BO195" s="152"/>
    </row>
    <row r="196" spans="16:67" ht="18" customHeight="1" x14ac:dyDescent="0.2">
      <c r="P196" s="148"/>
      <c r="U196" s="149"/>
      <c r="AZ196" s="153"/>
      <c r="BO196" s="152"/>
    </row>
    <row r="197" spans="16:67" ht="18" customHeight="1" x14ac:dyDescent="0.2">
      <c r="P197" s="148"/>
      <c r="U197" s="149"/>
      <c r="AZ197" s="153"/>
      <c r="BO197" s="152"/>
    </row>
    <row r="198" spans="16:67" ht="18" customHeight="1" x14ac:dyDescent="0.2">
      <c r="P198" s="148"/>
      <c r="U198" s="149"/>
      <c r="AZ198" s="153"/>
      <c r="BO198" s="152"/>
    </row>
    <row r="199" spans="16:67" ht="18" customHeight="1" x14ac:dyDescent="0.2">
      <c r="P199" s="148"/>
      <c r="U199" s="149"/>
      <c r="AZ199" s="153"/>
      <c r="BO199" s="152"/>
    </row>
    <row r="200" spans="16:67" ht="18" customHeight="1" x14ac:dyDescent="0.2">
      <c r="P200" s="148"/>
      <c r="U200" s="149"/>
      <c r="AZ200" s="153"/>
      <c r="BO200" s="152"/>
    </row>
    <row r="201" spans="16:67" ht="18" customHeight="1" x14ac:dyDescent="0.2">
      <c r="P201" s="148"/>
      <c r="U201" s="149"/>
      <c r="AZ201" s="153"/>
      <c r="BO201" s="152"/>
    </row>
    <row r="202" spans="16:67" ht="18" customHeight="1" x14ac:dyDescent="0.2">
      <c r="P202" s="148"/>
      <c r="U202" s="149"/>
      <c r="AZ202" s="153"/>
      <c r="BO202" s="152"/>
    </row>
    <row r="203" spans="16:67" ht="18" customHeight="1" x14ac:dyDescent="0.2">
      <c r="P203" s="148"/>
      <c r="U203" s="149"/>
      <c r="AZ203" s="153"/>
      <c r="BO203" s="152"/>
    </row>
    <row r="204" spans="16:67" ht="18" customHeight="1" x14ac:dyDescent="0.2">
      <c r="P204" s="148"/>
      <c r="U204" s="149"/>
      <c r="AZ204" s="153"/>
      <c r="BO204" s="152"/>
    </row>
    <row r="205" spans="16:67" ht="18" customHeight="1" x14ac:dyDescent="0.2">
      <c r="P205" s="148"/>
      <c r="U205" s="149"/>
      <c r="AZ205" s="153"/>
      <c r="BO205" s="152"/>
    </row>
    <row r="206" spans="16:67" ht="18" customHeight="1" x14ac:dyDescent="0.2">
      <c r="P206" s="148"/>
      <c r="U206" s="149"/>
      <c r="AZ206" s="153"/>
      <c r="BO206" s="152"/>
    </row>
    <row r="207" spans="16:67" ht="18" customHeight="1" x14ac:dyDescent="0.2">
      <c r="P207" s="148"/>
      <c r="U207" s="149"/>
      <c r="AZ207" s="153"/>
      <c r="BO207" s="152"/>
    </row>
    <row r="208" spans="16:67" ht="18" customHeight="1" x14ac:dyDescent="0.2">
      <c r="P208" s="148"/>
      <c r="U208" s="149"/>
      <c r="AZ208" s="153"/>
      <c r="BO208" s="152"/>
    </row>
    <row r="209" spans="16:67" ht="18" customHeight="1" x14ac:dyDescent="0.2">
      <c r="P209" s="148"/>
      <c r="U209" s="149"/>
      <c r="AZ209" s="153"/>
      <c r="BO209" s="152"/>
    </row>
    <row r="210" spans="16:67" ht="18" customHeight="1" x14ac:dyDescent="0.2">
      <c r="P210" s="148"/>
      <c r="U210" s="149"/>
      <c r="AZ210" s="153"/>
      <c r="BO210" s="152"/>
    </row>
    <row r="211" spans="16:67" ht="18" customHeight="1" x14ac:dyDescent="0.2">
      <c r="P211" s="148"/>
      <c r="U211" s="149"/>
      <c r="AZ211" s="153"/>
      <c r="BO211" s="152"/>
    </row>
    <row r="212" spans="16:67" ht="18" customHeight="1" x14ac:dyDescent="0.2">
      <c r="P212" s="148"/>
      <c r="U212" s="149"/>
      <c r="AZ212" s="153"/>
      <c r="BO212" s="152"/>
    </row>
    <row r="213" spans="16:67" ht="18" customHeight="1" x14ac:dyDescent="0.2">
      <c r="P213" s="148"/>
      <c r="U213" s="149"/>
      <c r="AZ213" s="153"/>
      <c r="BO213" s="152"/>
    </row>
    <row r="214" spans="16:67" ht="18" customHeight="1" x14ac:dyDescent="0.2">
      <c r="P214" s="148"/>
      <c r="U214" s="149"/>
      <c r="AZ214" s="153"/>
      <c r="BO214" s="152"/>
    </row>
    <row r="215" spans="16:67" ht="18" customHeight="1" x14ac:dyDescent="0.2">
      <c r="P215" s="148"/>
      <c r="U215" s="149"/>
      <c r="AZ215" s="153"/>
      <c r="BO215" s="152"/>
    </row>
    <row r="216" spans="16:67" ht="18" customHeight="1" x14ac:dyDescent="0.2">
      <c r="P216" s="148"/>
      <c r="U216" s="149"/>
      <c r="AZ216" s="153"/>
      <c r="BO216" s="152"/>
    </row>
    <row r="217" spans="16:67" ht="18" customHeight="1" x14ac:dyDescent="0.2">
      <c r="P217" s="148"/>
      <c r="U217" s="149"/>
      <c r="AZ217" s="153"/>
      <c r="BO217" s="152"/>
    </row>
    <row r="218" spans="16:67" ht="18" customHeight="1" x14ac:dyDescent="0.2">
      <c r="P218" s="148"/>
      <c r="U218" s="149"/>
      <c r="AZ218" s="153"/>
      <c r="BO218" s="152"/>
    </row>
    <row r="219" spans="16:67" ht="18" customHeight="1" x14ac:dyDescent="0.2">
      <c r="P219" s="148"/>
      <c r="U219" s="149"/>
      <c r="AZ219" s="153"/>
      <c r="BO219" s="152"/>
    </row>
    <row r="220" spans="16:67" ht="18" customHeight="1" x14ac:dyDescent="0.2">
      <c r="P220" s="148"/>
      <c r="U220" s="149"/>
      <c r="AZ220" s="153"/>
      <c r="BO220" s="152"/>
    </row>
    <row r="221" spans="16:67" ht="18" customHeight="1" x14ac:dyDescent="0.2">
      <c r="P221" s="148"/>
      <c r="U221" s="149"/>
      <c r="AZ221" s="153"/>
      <c r="BO221" s="152"/>
    </row>
    <row r="222" spans="16:67" ht="18" customHeight="1" x14ac:dyDescent="0.2">
      <c r="P222" s="148"/>
      <c r="U222" s="149"/>
      <c r="AZ222" s="153"/>
      <c r="BO222" s="152"/>
    </row>
    <row r="223" spans="16:67" ht="18" customHeight="1" x14ac:dyDescent="0.2">
      <c r="P223" s="148"/>
      <c r="U223" s="149"/>
      <c r="AZ223" s="153"/>
      <c r="BO223" s="152"/>
    </row>
    <row r="224" spans="16:67" ht="18" customHeight="1" x14ac:dyDescent="0.2">
      <c r="P224" s="148"/>
      <c r="U224" s="149"/>
      <c r="AZ224" s="153"/>
      <c r="BO224" s="152"/>
    </row>
    <row r="225" spans="16:67" ht="18" customHeight="1" x14ac:dyDescent="0.2">
      <c r="P225" s="148"/>
      <c r="U225" s="149"/>
      <c r="AZ225" s="153"/>
      <c r="BO225" s="152"/>
    </row>
    <row r="226" spans="16:67" ht="18" customHeight="1" x14ac:dyDescent="0.2">
      <c r="P226" s="148"/>
      <c r="U226" s="149"/>
      <c r="AZ226" s="153"/>
      <c r="BO226" s="152"/>
    </row>
    <row r="227" spans="16:67" ht="18" customHeight="1" x14ac:dyDescent="0.2">
      <c r="P227" s="148"/>
      <c r="U227" s="149"/>
      <c r="AZ227" s="153"/>
      <c r="BO227" s="152"/>
    </row>
    <row r="228" spans="16:67" ht="18" customHeight="1" x14ac:dyDescent="0.2">
      <c r="P228" s="148"/>
      <c r="U228" s="149"/>
      <c r="AZ228" s="153"/>
      <c r="BO228" s="152"/>
    </row>
    <row r="229" spans="16:67" ht="18" customHeight="1" x14ac:dyDescent="0.2">
      <c r="AY229" s="153"/>
      <c r="AZ229" s="153"/>
      <c r="BO229" s="152"/>
    </row>
    <row r="230" spans="16:67" ht="18" customHeight="1" x14ac:dyDescent="0.2">
      <c r="AY230" s="153"/>
      <c r="AZ230" s="153"/>
      <c r="BO230" s="152"/>
    </row>
    <row r="231" spans="16:67" ht="18" customHeight="1" x14ac:dyDescent="0.2">
      <c r="AY231" s="153"/>
      <c r="AZ231" s="153"/>
      <c r="BO231" s="152"/>
    </row>
    <row r="232" spans="16:67" ht="18" customHeight="1" x14ac:dyDescent="0.2">
      <c r="AY232" s="153"/>
      <c r="AZ232" s="153"/>
      <c r="BO232" s="152"/>
    </row>
    <row r="233" spans="16:67" ht="18" customHeight="1" x14ac:dyDescent="0.2">
      <c r="AY233" s="153"/>
      <c r="AZ233" s="153"/>
      <c r="BO233" s="152"/>
    </row>
    <row r="234" spans="16:67" ht="18" customHeight="1" x14ac:dyDescent="0.2">
      <c r="AY234" s="153"/>
      <c r="AZ234" s="153"/>
      <c r="BO234" s="152"/>
    </row>
    <row r="235" spans="16:67" ht="18" customHeight="1" x14ac:dyDescent="0.2">
      <c r="AY235" s="153"/>
      <c r="AZ235" s="153"/>
      <c r="BO235" s="152"/>
    </row>
    <row r="236" spans="16:67" ht="18" customHeight="1" x14ac:dyDescent="0.2">
      <c r="AY236" s="153"/>
      <c r="AZ236" s="153"/>
      <c r="BO236" s="152"/>
    </row>
    <row r="237" spans="16:67" ht="18" customHeight="1" x14ac:dyDescent="0.2">
      <c r="AY237" s="153"/>
      <c r="AZ237" s="153"/>
      <c r="BO237" s="152"/>
    </row>
    <row r="238" spans="16:67" ht="18" customHeight="1" x14ac:dyDescent="0.2">
      <c r="AY238" s="153"/>
      <c r="AZ238" s="153"/>
      <c r="BO238" s="152"/>
    </row>
    <row r="239" spans="16:67" ht="18" customHeight="1" x14ac:dyDescent="0.2">
      <c r="AY239" s="153"/>
      <c r="AZ239" s="153"/>
      <c r="BO239" s="152"/>
    </row>
    <row r="240" spans="16:67" ht="18" customHeight="1" x14ac:dyDescent="0.2">
      <c r="AY240" s="153"/>
      <c r="AZ240" s="153"/>
      <c r="BO240" s="152"/>
    </row>
    <row r="241" spans="51:67" ht="18" customHeight="1" x14ac:dyDescent="0.2">
      <c r="AY241" s="153"/>
      <c r="AZ241" s="153"/>
      <c r="BO241" s="152"/>
    </row>
    <row r="242" spans="51:67" ht="18" customHeight="1" x14ac:dyDescent="0.2">
      <c r="AY242" s="153"/>
      <c r="AZ242" s="153"/>
      <c r="BO242" s="152"/>
    </row>
    <row r="243" spans="51:67" ht="18" customHeight="1" x14ac:dyDescent="0.2">
      <c r="AY243" s="153"/>
      <c r="AZ243" s="153"/>
      <c r="BO243" s="152"/>
    </row>
    <row r="244" spans="51:67" ht="18" customHeight="1" x14ac:dyDescent="0.2">
      <c r="AY244" s="153"/>
      <c r="AZ244" s="153"/>
      <c r="BO244" s="152"/>
    </row>
    <row r="245" spans="51:67" ht="18" customHeight="1" x14ac:dyDescent="0.2">
      <c r="AY245" s="153"/>
      <c r="AZ245" s="153"/>
      <c r="BO245" s="152"/>
    </row>
    <row r="246" spans="51:67" ht="18" customHeight="1" x14ac:dyDescent="0.2">
      <c r="AY246" s="153"/>
      <c r="AZ246" s="153"/>
      <c r="BO246" s="152"/>
    </row>
    <row r="247" spans="51:67" ht="18" customHeight="1" x14ac:dyDescent="0.2">
      <c r="AY247" s="153"/>
      <c r="AZ247" s="153"/>
      <c r="BO247" s="152"/>
    </row>
    <row r="248" spans="51:67" ht="18" customHeight="1" x14ac:dyDescent="0.2">
      <c r="AY248" s="153"/>
      <c r="AZ248" s="153"/>
      <c r="BO248" s="152"/>
    </row>
    <row r="249" spans="51:67" ht="18" customHeight="1" x14ac:dyDescent="0.2">
      <c r="AY249" s="153"/>
      <c r="AZ249" s="153"/>
      <c r="BO249" s="152"/>
    </row>
    <row r="250" spans="51:67" ht="18" customHeight="1" x14ac:dyDescent="0.2">
      <c r="AY250" s="153"/>
      <c r="AZ250" s="153"/>
      <c r="BO250" s="152"/>
    </row>
    <row r="251" spans="51:67" ht="18" customHeight="1" x14ac:dyDescent="0.2">
      <c r="AY251" s="153"/>
      <c r="AZ251" s="153"/>
      <c r="BO251" s="152"/>
    </row>
    <row r="252" spans="51:67" ht="18" customHeight="1" x14ac:dyDescent="0.2">
      <c r="AY252" s="153"/>
      <c r="AZ252" s="153"/>
      <c r="BO252" s="152"/>
    </row>
    <row r="253" spans="51:67" ht="18" customHeight="1" x14ac:dyDescent="0.2">
      <c r="AY253" s="153"/>
      <c r="AZ253" s="153"/>
      <c r="BO253" s="152"/>
    </row>
    <row r="254" spans="51:67" ht="18" customHeight="1" x14ac:dyDescent="0.2">
      <c r="AY254" s="153"/>
      <c r="AZ254" s="153"/>
      <c r="BO254" s="152"/>
    </row>
    <row r="255" spans="51:67" ht="18" customHeight="1" x14ac:dyDescent="0.2">
      <c r="AY255" s="153"/>
      <c r="AZ255" s="153"/>
      <c r="BO255" s="152"/>
    </row>
    <row r="256" spans="51:67" ht="18" customHeight="1" x14ac:dyDescent="0.2">
      <c r="AY256" s="153"/>
      <c r="AZ256" s="153"/>
      <c r="BO256" s="152"/>
    </row>
    <row r="257" spans="51:67" ht="18" customHeight="1" x14ac:dyDescent="0.2">
      <c r="AY257" s="153"/>
      <c r="AZ257" s="153"/>
      <c r="BO257" s="152"/>
    </row>
    <row r="258" spans="51:67" ht="18" customHeight="1" x14ac:dyDescent="0.2">
      <c r="AY258" s="153"/>
      <c r="AZ258" s="153"/>
      <c r="BO258" s="152"/>
    </row>
    <row r="259" spans="51:67" ht="18" customHeight="1" x14ac:dyDescent="0.2">
      <c r="AY259" s="153"/>
      <c r="AZ259" s="153"/>
      <c r="BO259" s="152"/>
    </row>
    <row r="260" spans="51:67" ht="18" customHeight="1" x14ac:dyDescent="0.2">
      <c r="AY260" s="153"/>
      <c r="AZ260" s="153"/>
      <c r="BO260" s="152"/>
    </row>
    <row r="261" spans="51:67" ht="18" customHeight="1" x14ac:dyDescent="0.2">
      <c r="AY261" s="153"/>
      <c r="AZ261" s="153"/>
      <c r="BO261" s="152"/>
    </row>
    <row r="262" spans="51:67" ht="18" customHeight="1" x14ac:dyDescent="0.2">
      <c r="AY262" s="153"/>
      <c r="AZ262" s="153"/>
      <c r="BO262" s="152"/>
    </row>
    <row r="263" spans="51:67" ht="18" customHeight="1" x14ac:dyDescent="0.2">
      <c r="AY263" s="153"/>
      <c r="AZ263" s="153"/>
      <c r="BO263" s="152"/>
    </row>
    <row r="264" spans="51:67" ht="18" customHeight="1" x14ac:dyDescent="0.2">
      <c r="AY264" s="153"/>
      <c r="AZ264" s="153"/>
      <c r="BO264" s="152"/>
    </row>
    <row r="265" spans="51:67" ht="18" customHeight="1" x14ac:dyDescent="0.2">
      <c r="AY265" s="153"/>
      <c r="AZ265" s="153"/>
      <c r="BO265" s="152"/>
    </row>
    <row r="266" spans="51:67" ht="18" customHeight="1" x14ac:dyDescent="0.2">
      <c r="AY266" s="153"/>
      <c r="AZ266" s="153"/>
      <c r="BO266" s="152"/>
    </row>
    <row r="267" spans="51:67" ht="18" customHeight="1" x14ac:dyDescent="0.2">
      <c r="AY267" s="153"/>
      <c r="AZ267" s="153"/>
      <c r="BO267" s="152"/>
    </row>
    <row r="268" spans="51:67" ht="18" customHeight="1" x14ac:dyDescent="0.2">
      <c r="AY268" s="153"/>
      <c r="AZ268" s="153"/>
      <c r="BO268" s="152"/>
    </row>
    <row r="269" spans="51:67" ht="18" customHeight="1" x14ac:dyDescent="0.2">
      <c r="AY269" s="153"/>
      <c r="AZ269" s="153"/>
      <c r="BO269" s="152"/>
    </row>
    <row r="270" spans="51:67" ht="18" customHeight="1" x14ac:dyDescent="0.2">
      <c r="AY270" s="153"/>
      <c r="AZ270" s="153"/>
      <c r="BO270" s="152"/>
    </row>
    <row r="271" spans="51:67" ht="18" customHeight="1" x14ac:dyDescent="0.2">
      <c r="AY271" s="153"/>
      <c r="AZ271" s="153"/>
      <c r="BO271" s="152"/>
    </row>
    <row r="272" spans="51:67" ht="18" customHeight="1" x14ac:dyDescent="0.2">
      <c r="AY272" s="153"/>
      <c r="AZ272" s="153"/>
      <c r="BO272" s="152"/>
    </row>
    <row r="273" spans="51:67" ht="18" customHeight="1" x14ac:dyDescent="0.2">
      <c r="AY273" s="153"/>
      <c r="AZ273" s="153"/>
      <c r="BO273" s="152"/>
    </row>
    <row r="274" spans="51:67" ht="18" customHeight="1" x14ac:dyDescent="0.2">
      <c r="AY274" s="153"/>
      <c r="AZ274" s="153"/>
      <c r="BO274" s="152"/>
    </row>
    <row r="275" spans="51:67" ht="18" customHeight="1" x14ac:dyDescent="0.2">
      <c r="AY275" s="153"/>
      <c r="AZ275" s="153"/>
      <c r="BO275" s="152"/>
    </row>
    <row r="276" spans="51:67" ht="18" customHeight="1" x14ac:dyDescent="0.2">
      <c r="AY276" s="153"/>
      <c r="AZ276" s="153"/>
      <c r="BO276" s="152"/>
    </row>
    <row r="277" spans="51:67" ht="18" customHeight="1" x14ac:dyDescent="0.2">
      <c r="AY277" s="153"/>
      <c r="AZ277" s="153"/>
      <c r="BO277" s="152"/>
    </row>
    <row r="278" spans="51:67" ht="18" customHeight="1" x14ac:dyDescent="0.2">
      <c r="AY278" s="153"/>
      <c r="AZ278" s="153"/>
      <c r="BO278" s="152"/>
    </row>
    <row r="279" spans="51:67" ht="18" customHeight="1" x14ac:dyDescent="0.2">
      <c r="AY279" s="153"/>
      <c r="AZ279" s="153"/>
      <c r="BO279" s="152"/>
    </row>
    <row r="280" spans="51:67" ht="18" customHeight="1" x14ac:dyDescent="0.2">
      <c r="AY280" s="153"/>
      <c r="AZ280" s="153"/>
      <c r="BO280" s="152"/>
    </row>
    <row r="281" spans="51:67" ht="18" customHeight="1" x14ac:dyDescent="0.2">
      <c r="AY281" s="153"/>
      <c r="AZ281" s="153"/>
      <c r="BO281" s="152"/>
    </row>
    <row r="282" spans="51:67" ht="18" customHeight="1" x14ac:dyDescent="0.2">
      <c r="AY282" s="153"/>
      <c r="AZ282" s="153"/>
      <c r="BO282" s="152"/>
    </row>
    <row r="283" spans="51:67" ht="18" customHeight="1" x14ac:dyDescent="0.2">
      <c r="AY283" s="153"/>
      <c r="AZ283" s="153"/>
      <c r="BO283" s="152"/>
    </row>
    <row r="284" spans="51:67" ht="18" customHeight="1" x14ac:dyDescent="0.2">
      <c r="AY284" s="153"/>
      <c r="AZ284" s="153"/>
      <c r="BO284" s="152"/>
    </row>
    <row r="285" spans="51:67" ht="18" customHeight="1" x14ac:dyDescent="0.2">
      <c r="AY285" s="153"/>
      <c r="AZ285" s="153"/>
      <c r="BO285" s="152"/>
    </row>
    <row r="286" spans="51:67" ht="18" customHeight="1" x14ac:dyDescent="0.2">
      <c r="AY286" s="153"/>
      <c r="AZ286" s="153"/>
      <c r="BO286" s="152"/>
    </row>
    <row r="287" spans="51:67" ht="18" customHeight="1" x14ac:dyDescent="0.2">
      <c r="AY287" s="153"/>
      <c r="AZ287" s="153"/>
      <c r="BO287" s="152"/>
    </row>
    <row r="288" spans="51:67" ht="18" customHeight="1" x14ac:dyDescent="0.2">
      <c r="AY288" s="153"/>
      <c r="AZ288" s="153"/>
      <c r="BO288" s="152"/>
    </row>
    <row r="289" spans="51:67" ht="18" customHeight="1" x14ac:dyDescent="0.2">
      <c r="AY289" s="153"/>
      <c r="AZ289" s="153"/>
      <c r="BO289" s="152"/>
    </row>
    <row r="290" spans="51:67" ht="18" customHeight="1" x14ac:dyDescent="0.2">
      <c r="AY290" s="153"/>
      <c r="AZ290" s="153"/>
      <c r="BO290" s="152"/>
    </row>
    <row r="291" spans="51:67" ht="18" customHeight="1" x14ac:dyDescent="0.2">
      <c r="AY291" s="153"/>
      <c r="AZ291" s="153"/>
      <c r="BO291" s="152"/>
    </row>
    <row r="292" spans="51:67" ht="18" customHeight="1" x14ac:dyDescent="0.2">
      <c r="AY292" s="153"/>
      <c r="AZ292" s="153"/>
      <c r="BO292" s="152"/>
    </row>
    <row r="293" spans="51:67" ht="18" customHeight="1" x14ac:dyDescent="0.2">
      <c r="AY293" s="153"/>
      <c r="AZ293" s="153"/>
      <c r="BO293" s="152"/>
    </row>
    <row r="294" spans="51:67" ht="18" customHeight="1" x14ac:dyDescent="0.2">
      <c r="AY294" s="153"/>
      <c r="AZ294" s="153"/>
      <c r="BO294" s="152"/>
    </row>
    <row r="295" spans="51:67" ht="18" customHeight="1" x14ac:dyDescent="0.2">
      <c r="AY295" s="153"/>
      <c r="AZ295" s="153"/>
      <c r="BO295" s="152"/>
    </row>
    <row r="296" spans="51:67" ht="18" customHeight="1" x14ac:dyDescent="0.2">
      <c r="AY296" s="153"/>
      <c r="AZ296" s="153"/>
      <c r="BO296" s="152"/>
    </row>
    <row r="297" spans="51:67" ht="18" customHeight="1" x14ac:dyDescent="0.2">
      <c r="AY297" s="153"/>
      <c r="AZ297" s="153"/>
      <c r="BO297" s="152"/>
    </row>
    <row r="298" spans="51:67" ht="18" customHeight="1" x14ac:dyDescent="0.2">
      <c r="AY298" s="153"/>
      <c r="AZ298" s="153"/>
      <c r="BO298" s="152"/>
    </row>
    <row r="299" spans="51:67" ht="18" customHeight="1" x14ac:dyDescent="0.2">
      <c r="AY299" s="153"/>
      <c r="AZ299" s="153"/>
      <c r="BO299" s="152"/>
    </row>
    <row r="300" spans="51:67" ht="18" customHeight="1" x14ac:dyDescent="0.2">
      <c r="AY300" s="153"/>
      <c r="AZ300" s="153"/>
      <c r="BO300" s="152"/>
    </row>
    <row r="301" spans="51:67" ht="18" customHeight="1" x14ac:dyDescent="0.2">
      <c r="AY301" s="153"/>
      <c r="AZ301" s="153"/>
      <c r="BO301" s="152"/>
    </row>
    <row r="302" spans="51:67" ht="18" customHeight="1" x14ac:dyDescent="0.2">
      <c r="AY302" s="153"/>
      <c r="AZ302" s="153"/>
      <c r="BO302" s="152"/>
    </row>
    <row r="303" spans="51:67" ht="18" customHeight="1" x14ac:dyDescent="0.2">
      <c r="AY303" s="153"/>
      <c r="AZ303" s="153"/>
      <c r="BO303" s="152"/>
    </row>
    <row r="304" spans="51:67" ht="18" customHeight="1" x14ac:dyDescent="0.2">
      <c r="AY304" s="153"/>
      <c r="AZ304" s="153"/>
      <c r="BO304" s="152"/>
    </row>
    <row r="305" spans="51:67" ht="18" customHeight="1" x14ac:dyDescent="0.2">
      <c r="AY305" s="153"/>
      <c r="AZ305" s="153"/>
      <c r="BO305" s="152"/>
    </row>
    <row r="306" spans="51:67" ht="18" customHeight="1" x14ac:dyDescent="0.2">
      <c r="AY306" s="153"/>
      <c r="AZ306" s="153"/>
      <c r="BO306" s="152"/>
    </row>
    <row r="307" spans="51:67" ht="18" customHeight="1" x14ac:dyDescent="0.2">
      <c r="AY307" s="153"/>
      <c r="AZ307" s="153"/>
      <c r="BO307" s="152"/>
    </row>
    <row r="308" spans="51:67" ht="18" customHeight="1" x14ac:dyDescent="0.2">
      <c r="AY308" s="153"/>
      <c r="AZ308" s="153"/>
      <c r="BO308" s="152"/>
    </row>
    <row r="309" spans="51:67" ht="18" customHeight="1" x14ac:dyDescent="0.2">
      <c r="AY309" s="153"/>
      <c r="AZ309" s="153"/>
      <c r="BO309" s="152"/>
    </row>
    <row r="310" spans="51:67" ht="18" customHeight="1" x14ac:dyDescent="0.2">
      <c r="AY310" s="153"/>
      <c r="AZ310" s="153"/>
      <c r="BO310" s="152"/>
    </row>
    <row r="311" spans="51:67" ht="18" customHeight="1" x14ac:dyDescent="0.2">
      <c r="AY311" s="153"/>
      <c r="AZ311" s="153"/>
      <c r="BO311" s="152"/>
    </row>
    <row r="312" spans="51:67" ht="18" customHeight="1" x14ac:dyDescent="0.2">
      <c r="AY312" s="153"/>
      <c r="AZ312" s="153"/>
      <c r="BO312" s="152"/>
    </row>
    <row r="313" spans="51:67" ht="18" customHeight="1" x14ac:dyDescent="0.2">
      <c r="AY313" s="153"/>
      <c r="AZ313" s="153"/>
      <c r="BO313" s="152"/>
    </row>
    <row r="314" spans="51:67" ht="18" customHeight="1" x14ac:dyDescent="0.2">
      <c r="AY314" s="153"/>
      <c r="AZ314" s="153"/>
      <c r="BO314" s="152"/>
    </row>
    <row r="315" spans="51:67" ht="18" customHeight="1" x14ac:dyDescent="0.2">
      <c r="AY315" s="153"/>
      <c r="AZ315" s="153"/>
      <c r="BO315" s="152"/>
    </row>
    <row r="316" spans="51:67" ht="18" customHeight="1" x14ac:dyDescent="0.2">
      <c r="AY316" s="153"/>
      <c r="AZ316" s="153"/>
      <c r="BO316" s="152"/>
    </row>
    <row r="317" spans="51:67" ht="18" customHeight="1" x14ac:dyDescent="0.2">
      <c r="AY317" s="153"/>
      <c r="AZ317" s="153"/>
      <c r="BO317" s="152"/>
    </row>
    <row r="318" spans="51:67" ht="18" customHeight="1" x14ac:dyDescent="0.2">
      <c r="AY318" s="153"/>
      <c r="AZ318" s="153"/>
      <c r="BO318" s="152"/>
    </row>
    <row r="319" spans="51:67" ht="18" customHeight="1" x14ac:dyDescent="0.2">
      <c r="AY319" s="153"/>
      <c r="AZ319" s="153"/>
      <c r="BO319" s="152"/>
    </row>
    <row r="320" spans="51:67" ht="18" customHeight="1" x14ac:dyDescent="0.2">
      <c r="AY320" s="153"/>
      <c r="AZ320" s="153"/>
      <c r="BO320" s="152"/>
    </row>
    <row r="321" spans="51:67" ht="18" customHeight="1" x14ac:dyDescent="0.2">
      <c r="AY321" s="153"/>
      <c r="AZ321" s="153"/>
      <c r="BO321" s="152"/>
    </row>
    <row r="322" spans="51:67" ht="18" customHeight="1" x14ac:dyDescent="0.2">
      <c r="AY322" s="153"/>
      <c r="AZ322" s="153"/>
      <c r="BO322" s="152"/>
    </row>
    <row r="323" spans="51:67" ht="18" customHeight="1" x14ac:dyDescent="0.2">
      <c r="AY323" s="153"/>
      <c r="AZ323" s="153"/>
      <c r="BO323" s="152"/>
    </row>
    <row r="324" spans="51:67" ht="18" customHeight="1" x14ac:dyDescent="0.2">
      <c r="AY324" s="153"/>
      <c r="AZ324" s="153"/>
      <c r="BO324" s="152"/>
    </row>
    <row r="325" spans="51:67" ht="18" customHeight="1" x14ac:dyDescent="0.2">
      <c r="AY325" s="153"/>
      <c r="AZ325" s="153"/>
      <c r="BO325" s="152"/>
    </row>
    <row r="326" spans="51:67" ht="18" customHeight="1" x14ac:dyDescent="0.2">
      <c r="AY326" s="153"/>
      <c r="AZ326" s="153"/>
      <c r="BO326" s="152"/>
    </row>
    <row r="327" spans="51:67" ht="18" customHeight="1" x14ac:dyDescent="0.2">
      <c r="AY327" s="153"/>
      <c r="AZ327" s="153"/>
      <c r="BO327" s="152"/>
    </row>
    <row r="328" spans="51:67" ht="18" customHeight="1" x14ac:dyDescent="0.2">
      <c r="BO328" s="152"/>
    </row>
    <row r="329" spans="51:67" ht="18" customHeight="1" x14ac:dyDescent="0.2">
      <c r="BO329" s="152"/>
    </row>
    <row r="330" spans="51:67" ht="18" customHeight="1" x14ac:dyDescent="0.2">
      <c r="BO330" s="152"/>
    </row>
    <row r="331" spans="51:67" ht="18" customHeight="1" x14ac:dyDescent="0.2">
      <c r="BO331" s="152"/>
    </row>
    <row r="332" spans="51:67" ht="18" customHeight="1" x14ac:dyDescent="0.2">
      <c r="BO332" s="152"/>
    </row>
    <row r="333" spans="51:67" ht="18" customHeight="1" x14ac:dyDescent="0.2">
      <c r="BO333" s="152"/>
    </row>
    <row r="334" spans="51:67" ht="18" customHeight="1" x14ac:dyDescent="0.2">
      <c r="BO334" s="152"/>
    </row>
    <row r="335" spans="51:67" ht="18" customHeight="1" x14ac:dyDescent="0.2">
      <c r="BO335" s="152"/>
    </row>
    <row r="336" spans="51:67" ht="18" customHeight="1" x14ac:dyDescent="0.2">
      <c r="BO336" s="152"/>
    </row>
    <row r="337" spans="67:67" ht="18" customHeight="1" x14ac:dyDescent="0.2">
      <c r="BO337" s="152"/>
    </row>
    <row r="338" spans="67:67" ht="18" customHeight="1" x14ac:dyDescent="0.2">
      <c r="BO338" s="152"/>
    </row>
    <row r="339" spans="67:67" ht="18" customHeight="1" x14ac:dyDescent="0.2">
      <c r="BO339" s="152"/>
    </row>
    <row r="340" spans="67:67" ht="18" customHeight="1" x14ac:dyDescent="0.2">
      <c r="BO340" s="152"/>
    </row>
    <row r="341" spans="67:67" ht="18" customHeight="1" x14ac:dyDescent="0.2">
      <c r="BO341" s="152"/>
    </row>
    <row r="342" spans="67:67" ht="18" customHeight="1" x14ac:dyDescent="0.2">
      <c r="BO342" s="152"/>
    </row>
    <row r="343" spans="67:67" ht="18" customHeight="1" x14ac:dyDescent="0.2">
      <c r="BO343" s="152"/>
    </row>
    <row r="344" spans="67:67" ht="18" customHeight="1" x14ac:dyDescent="0.2"/>
    <row r="345" spans="67:67" ht="18" customHeight="1" x14ac:dyDescent="0.2"/>
    <row r="346" spans="67:67" ht="18" customHeight="1" x14ac:dyDescent="0.2"/>
    <row r="347" spans="67:67" ht="18" customHeight="1" x14ac:dyDescent="0.2"/>
    <row r="348" spans="67:67" ht="18" customHeight="1" x14ac:dyDescent="0.2"/>
    <row r="349" spans="67:67" ht="18" customHeight="1" x14ac:dyDescent="0.2"/>
    <row r="350" spans="67:67" ht="18" customHeight="1" x14ac:dyDescent="0.2"/>
    <row r="351" spans="67:67" ht="18" customHeight="1" x14ac:dyDescent="0.2"/>
    <row r="352" spans="67:67" ht="18" customHeight="1" x14ac:dyDescent="0.2"/>
    <row r="353" ht="18" customHeight="1" x14ac:dyDescent="0.2"/>
    <row r="354" ht="18" customHeight="1" x14ac:dyDescent="0.2"/>
    <row r="355" ht="18" customHeight="1" x14ac:dyDescent="0.2"/>
    <row r="356" ht="18" customHeight="1" x14ac:dyDescent="0.2"/>
    <row r="357" ht="18" customHeight="1" x14ac:dyDescent="0.2"/>
    <row r="358" ht="18" customHeight="1" x14ac:dyDescent="0.2"/>
    <row r="359" ht="18" customHeight="1" x14ac:dyDescent="0.2"/>
    <row r="360" ht="18" customHeight="1" x14ac:dyDescent="0.2"/>
    <row r="361" ht="18" customHeight="1" x14ac:dyDescent="0.2"/>
    <row r="362" ht="18" customHeight="1" x14ac:dyDescent="0.2"/>
    <row r="363" ht="18" customHeight="1" x14ac:dyDescent="0.2"/>
    <row r="364" ht="18" customHeight="1" x14ac:dyDescent="0.2"/>
    <row r="365" ht="18" customHeight="1" x14ac:dyDescent="0.2"/>
    <row r="366" ht="18" customHeight="1" x14ac:dyDescent="0.2"/>
    <row r="367" ht="18" customHeight="1" x14ac:dyDescent="0.2"/>
    <row r="368" ht="18" customHeight="1" x14ac:dyDescent="0.2"/>
    <row r="369" ht="18" customHeight="1" x14ac:dyDescent="0.2"/>
    <row r="370" ht="18" customHeight="1" x14ac:dyDescent="0.2"/>
    <row r="371" ht="18" customHeight="1" x14ac:dyDescent="0.2"/>
    <row r="372" ht="18" customHeight="1" x14ac:dyDescent="0.2"/>
    <row r="373" ht="18" customHeight="1" x14ac:dyDescent="0.2"/>
    <row r="374" ht="18" customHeight="1" x14ac:dyDescent="0.2"/>
    <row r="375" ht="18" customHeight="1" x14ac:dyDescent="0.2"/>
    <row r="376" ht="18" customHeight="1" x14ac:dyDescent="0.2"/>
    <row r="377" ht="18" customHeight="1" x14ac:dyDescent="0.2"/>
    <row r="378" ht="18" customHeight="1" x14ac:dyDescent="0.2"/>
    <row r="379" ht="18" customHeight="1" x14ac:dyDescent="0.2"/>
    <row r="380" ht="18" customHeight="1" x14ac:dyDescent="0.2"/>
    <row r="381" ht="18" customHeight="1" x14ac:dyDescent="0.2"/>
    <row r="382" ht="18" customHeight="1" x14ac:dyDescent="0.2"/>
    <row r="383" ht="18" customHeight="1" x14ac:dyDescent="0.2"/>
    <row r="384" ht="18" customHeight="1" x14ac:dyDescent="0.2"/>
    <row r="385" ht="18" customHeight="1" x14ac:dyDescent="0.2"/>
    <row r="386" ht="18" customHeight="1" x14ac:dyDescent="0.2"/>
    <row r="387" ht="18" customHeight="1" x14ac:dyDescent="0.2"/>
    <row r="388" ht="18" customHeight="1" x14ac:dyDescent="0.2"/>
    <row r="389" ht="18" customHeight="1" x14ac:dyDescent="0.2"/>
    <row r="390" ht="18" customHeight="1" x14ac:dyDescent="0.2"/>
    <row r="391" ht="18" customHeight="1" x14ac:dyDescent="0.2"/>
    <row r="392" ht="18" customHeight="1" x14ac:dyDescent="0.2"/>
    <row r="393" ht="18" customHeight="1" x14ac:dyDescent="0.2"/>
    <row r="394" ht="18" customHeight="1" x14ac:dyDescent="0.2"/>
    <row r="395" ht="18" customHeight="1" x14ac:dyDescent="0.2"/>
    <row r="396" ht="18" customHeight="1" x14ac:dyDescent="0.2"/>
    <row r="397" ht="18" customHeight="1" x14ac:dyDescent="0.2"/>
    <row r="398" ht="18" customHeight="1" x14ac:dyDescent="0.2"/>
    <row r="399" ht="18" customHeight="1" x14ac:dyDescent="0.2"/>
    <row r="400" ht="18" customHeight="1" x14ac:dyDescent="0.2"/>
    <row r="401" ht="18" customHeight="1" x14ac:dyDescent="0.2"/>
    <row r="402" ht="18" customHeight="1" x14ac:dyDescent="0.2"/>
    <row r="403" ht="18" customHeight="1" x14ac:dyDescent="0.2"/>
    <row r="404" ht="18" customHeight="1" x14ac:dyDescent="0.2"/>
    <row r="405" ht="18" customHeight="1" x14ac:dyDescent="0.2"/>
    <row r="406" ht="18" customHeight="1" x14ac:dyDescent="0.2"/>
    <row r="407" ht="18" customHeight="1" x14ac:dyDescent="0.2"/>
    <row r="408" ht="18" customHeight="1" x14ac:dyDescent="0.2"/>
    <row r="409" ht="18" customHeight="1" x14ac:dyDescent="0.2"/>
    <row r="410" ht="18" customHeight="1" x14ac:dyDescent="0.2"/>
    <row r="411" ht="18" customHeight="1" x14ac:dyDescent="0.2"/>
    <row r="412" ht="18" customHeight="1" x14ac:dyDescent="0.2"/>
    <row r="413" ht="18" customHeight="1" x14ac:dyDescent="0.2"/>
    <row r="414" ht="18" customHeight="1" x14ac:dyDescent="0.2"/>
    <row r="415" ht="18" customHeight="1" x14ac:dyDescent="0.2"/>
    <row r="416" ht="18" customHeight="1" x14ac:dyDescent="0.2"/>
    <row r="417" ht="18" customHeight="1" x14ac:dyDescent="0.2"/>
    <row r="418" ht="18" customHeight="1" x14ac:dyDescent="0.2"/>
    <row r="419" ht="18" customHeight="1" x14ac:dyDescent="0.2"/>
    <row r="420" ht="18" customHeight="1" x14ac:dyDescent="0.2"/>
    <row r="421" ht="18" customHeight="1" x14ac:dyDescent="0.2"/>
    <row r="422" ht="18" customHeight="1" x14ac:dyDescent="0.2"/>
    <row r="423" ht="18" customHeight="1" x14ac:dyDescent="0.2"/>
    <row r="424" ht="18" customHeight="1" x14ac:dyDescent="0.2"/>
    <row r="425" ht="18" customHeight="1" x14ac:dyDescent="0.2"/>
    <row r="426" ht="18" customHeight="1" x14ac:dyDescent="0.2"/>
    <row r="427" ht="18" customHeight="1" x14ac:dyDescent="0.2"/>
    <row r="428" ht="18" customHeight="1" x14ac:dyDescent="0.2"/>
    <row r="429" ht="18" customHeight="1" x14ac:dyDescent="0.2"/>
    <row r="430" ht="18" customHeight="1" x14ac:dyDescent="0.2"/>
    <row r="431" ht="18" customHeight="1" x14ac:dyDescent="0.2"/>
    <row r="432" ht="18" customHeight="1" x14ac:dyDescent="0.2"/>
    <row r="433" ht="18" customHeight="1" x14ac:dyDescent="0.2"/>
    <row r="434" ht="18" customHeight="1" x14ac:dyDescent="0.2"/>
    <row r="435" ht="18" customHeight="1" x14ac:dyDescent="0.2"/>
    <row r="436" ht="18" customHeight="1" x14ac:dyDescent="0.2"/>
    <row r="437" ht="18" customHeight="1" x14ac:dyDescent="0.2"/>
    <row r="438" ht="18" customHeight="1" x14ac:dyDescent="0.2"/>
    <row r="439" ht="18" customHeight="1" x14ac:dyDescent="0.2"/>
    <row r="440" ht="18" customHeight="1" x14ac:dyDescent="0.2"/>
    <row r="441" ht="18" customHeight="1" x14ac:dyDescent="0.2"/>
    <row r="442" ht="18" customHeight="1" x14ac:dyDescent="0.2"/>
    <row r="443" ht="18" customHeight="1" x14ac:dyDescent="0.2"/>
    <row r="444" ht="18" customHeight="1" x14ac:dyDescent="0.2"/>
    <row r="445" ht="18" customHeight="1" x14ac:dyDescent="0.2"/>
    <row r="446" ht="18" customHeight="1" x14ac:dyDescent="0.2"/>
    <row r="447" ht="18" customHeight="1" x14ac:dyDescent="0.2"/>
    <row r="448" ht="18" customHeight="1" x14ac:dyDescent="0.2"/>
    <row r="449" ht="18" customHeight="1" x14ac:dyDescent="0.2"/>
    <row r="450" ht="18" customHeight="1" x14ac:dyDescent="0.2"/>
    <row r="451" ht="18" customHeight="1" x14ac:dyDescent="0.2"/>
    <row r="452" ht="18" customHeight="1" x14ac:dyDescent="0.2"/>
    <row r="453" ht="18" customHeight="1" x14ac:dyDescent="0.2"/>
    <row r="454" ht="18" customHeight="1" x14ac:dyDescent="0.2"/>
    <row r="455" ht="18" customHeight="1" x14ac:dyDescent="0.2"/>
    <row r="456" ht="18" customHeight="1" x14ac:dyDescent="0.2"/>
    <row r="457" ht="18" customHeight="1" x14ac:dyDescent="0.2"/>
    <row r="458" ht="18" customHeight="1" x14ac:dyDescent="0.2"/>
    <row r="459" ht="18" customHeight="1" x14ac:dyDescent="0.2"/>
    <row r="460" ht="18" customHeight="1" x14ac:dyDescent="0.2"/>
    <row r="461" ht="18" customHeight="1" x14ac:dyDescent="0.2"/>
    <row r="462" ht="18" customHeight="1" x14ac:dyDescent="0.2"/>
    <row r="463" ht="18" customHeight="1" x14ac:dyDescent="0.2"/>
    <row r="464" ht="18" customHeight="1" x14ac:dyDescent="0.2"/>
    <row r="465" ht="18" customHeight="1" x14ac:dyDescent="0.2"/>
    <row r="466" ht="18" customHeight="1" x14ac:dyDescent="0.2"/>
    <row r="467" ht="18" customHeight="1" x14ac:dyDescent="0.2"/>
    <row r="468" ht="18" customHeight="1" x14ac:dyDescent="0.2"/>
    <row r="469" ht="18" customHeight="1" x14ac:dyDescent="0.2"/>
    <row r="470" ht="18" customHeight="1" x14ac:dyDescent="0.2"/>
    <row r="471" ht="18" customHeight="1" x14ac:dyDescent="0.2"/>
    <row r="472" ht="18" customHeight="1" x14ac:dyDescent="0.2"/>
    <row r="473" ht="18" customHeight="1" x14ac:dyDescent="0.2"/>
    <row r="474" ht="18" customHeight="1" x14ac:dyDescent="0.2"/>
    <row r="475" ht="18" customHeight="1" x14ac:dyDescent="0.2"/>
    <row r="476" ht="18" customHeight="1" x14ac:dyDescent="0.2"/>
    <row r="477" ht="18" customHeight="1" x14ac:dyDescent="0.2"/>
    <row r="478" ht="18" customHeight="1" x14ac:dyDescent="0.2"/>
    <row r="479" ht="18" customHeight="1" x14ac:dyDescent="0.2"/>
    <row r="480" ht="18" customHeight="1" x14ac:dyDescent="0.2"/>
    <row r="481" ht="18" customHeight="1" x14ac:dyDescent="0.2"/>
    <row r="482" ht="18" customHeight="1" x14ac:dyDescent="0.2"/>
    <row r="483" ht="18" customHeight="1" x14ac:dyDescent="0.2"/>
    <row r="484" ht="18" customHeight="1" x14ac:dyDescent="0.2"/>
    <row r="485" ht="18" customHeight="1" x14ac:dyDescent="0.2"/>
    <row r="486" ht="18" customHeight="1" x14ac:dyDescent="0.2"/>
    <row r="487" ht="18" customHeight="1" x14ac:dyDescent="0.2"/>
    <row r="488" ht="18" customHeight="1" x14ac:dyDescent="0.2"/>
    <row r="489" ht="18" customHeight="1" x14ac:dyDescent="0.2"/>
    <row r="490" ht="18" customHeight="1" x14ac:dyDescent="0.2"/>
    <row r="491" ht="18" customHeight="1" x14ac:dyDescent="0.2"/>
    <row r="492" ht="18" customHeight="1" x14ac:dyDescent="0.2"/>
    <row r="493" ht="18" customHeight="1" x14ac:dyDescent="0.2"/>
    <row r="494" ht="18" customHeight="1" x14ac:dyDescent="0.2"/>
    <row r="495" ht="18" customHeight="1" x14ac:dyDescent="0.2"/>
    <row r="496" ht="18" customHeight="1" x14ac:dyDescent="0.2"/>
    <row r="497" ht="18" customHeight="1" x14ac:dyDescent="0.2"/>
    <row r="498" ht="18" customHeight="1" x14ac:dyDescent="0.2"/>
    <row r="499" ht="18" customHeight="1" x14ac:dyDescent="0.2"/>
    <row r="500" ht="18" customHeight="1" x14ac:dyDescent="0.2"/>
    <row r="501" ht="18" customHeight="1" x14ac:dyDescent="0.2"/>
    <row r="502" ht="18" customHeight="1" x14ac:dyDescent="0.2"/>
    <row r="503" ht="18" customHeight="1" x14ac:dyDescent="0.2"/>
    <row r="504" ht="18" customHeight="1" x14ac:dyDescent="0.2"/>
    <row r="505" ht="18" customHeight="1" x14ac:dyDescent="0.2"/>
    <row r="506" ht="18" customHeight="1" x14ac:dyDescent="0.2"/>
    <row r="507" ht="18" customHeight="1" x14ac:dyDescent="0.2"/>
    <row r="508" ht="18" customHeight="1" x14ac:dyDescent="0.2"/>
    <row r="509" ht="18" customHeight="1" x14ac:dyDescent="0.2"/>
    <row r="510" ht="18" customHeight="1" x14ac:dyDescent="0.2"/>
    <row r="511" ht="18" customHeight="1" x14ac:dyDescent="0.2"/>
    <row r="512" ht="18" customHeight="1" x14ac:dyDescent="0.2"/>
    <row r="513" ht="18" customHeight="1" x14ac:dyDescent="0.2"/>
    <row r="514" ht="18" customHeight="1" x14ac:dyDescent="0.2"/>
    <row r="515" ht="18" customHeight="1" x14ac:dyDescent="0.2"/>
    <row r="516" ht="18" customHeight="1" x14ac:dyDescent="0.2"/>
    <row r="517" ht="18" customHeight="1" x14ac:dyDescent="0.2"/>
    <row r="518" ht="18" customHeight="1" x14ac:dyDescent="0.2"/>
    <row r="519" ht="18" customHeight="1" x14ac:dyDescent="0.2"/>
    <row r="520" ht="18" customHeight="1" x14ac:dyDescent="0.2"/>
    <row r="521" ht="18" customHeight="1" x14ac:dyDescent="0.2"/>
    <row r="522" ht="18" customHeight="1" x14ac:dyDescent="0.2"/>
    <row r="523" ht="18" customHeight="1" x14ac:dyDescent="0.2"/>
    <row r="524" ht="18" customHeight="1" x14ac:dyDescent="0.2"/>
    <row r="525" ht="18" customHeight="1" x14ac:dyDescent="0.2"/>
    <row r="526" ht="18" customHeight="1" x14ac:dyDescent="0.2"/>
    <row r="527" ht="18" customHeight="1" x14ac:dyDescent="0.2"/>
    <row r="528" ht="18" customHeight="1" x14ac:dyDescent="0.2"/>
    <row r="529" ht="18" customHeight="1" x14ac:dyDescent="0.2"/>
    <row r="530" ht="18" customHeight="1" x14ac:dyDescent="0.2"/>
    <row r="531" ht="18" customHeight="1" x14ac:dyDescent="0.2"/>
    <row r="532" ht="18" customHeight="1" x14ac:dyDescent="0.2"/>
    <row r="533" ht="18" customHeight="1" x14ac:dyDescent="0.2"/>
    <row r="534" ht="18" customHeight="1" x14ac:dyDescent="0.2"/>
    <row r="535" ht="18" customHeight="1" x14ac:dyDescent="0.2"/>
    <row r="536" ht="18" customHeight="1" x14ac:dyDescent="0.2"/>
    <row r="537" ht="18" customHeight="1" x14ac:dyDescent="0.2"/>
    <row r="538" ht="18" customHeight="1" x14ac:dyDescent="0.2"/>
    <row r="539" ht="18" customHeight="1" x14ac:dyDescent="0.2"/>
    <row r="540" ht="18" customHeight="1" x14ac:dyDescent="0.2"/>
    <row r="541" ht="18" customHeight="1" x14ac:dyDescent="0.2"/>
    <row r="542" ht="18" customHeight="1" x14ac:dyDescent="0.2"/>
    <row r="543" ht="18" customHeight="1" x14ac:dyDescent="0.2"/>
    <row r="544" ht="18" customHeight="1" x14ac:dyDescent="0.2"/>
    <row r="545" ht="18" customHeight="1" x14ac:dyDescent="0.2"/>
    <row r="546" ht="18" customHeight="1" x14ac:dyDescent="0.2"/>
    <row r="547" ht="18" customHeight="1" x14ac:dyDescent="0.2"/>
    <row r="548" ht="18" customHeight="1" x14ac:dyDescent="0.2"/>
    <row r="549" ht="18" customHeight="1" x14ac:dyDescent="0.2"/>
    <row r="550" ht="18" customHeight="1" x14ac:dyDescent="0.2"/>
    <row r="551" ht="18" customHeight="1" x14ac:dyDescent="0.2"/>
    <row r="552" ht="18" customHeight="1" x14ac:dyDescent="0.2"/>
    <row r="553" ht="18" customHeight="1" x14ac:dyDescent="0.2"/>
    <row r="554" ht="18" customHeight="1" x14ac:dyDescent="0.2"/>
    <row r="555" ht="18" customHeight="1" x14ac:dyDescent="0.2"/>
    <row r="556" ht="18" customHeight="1" x14ac:dyDescent="0.2"/>
    <row r="557" ht="18" customHeight="1" x14ac:dyDescent="0.2"/>
    <row r="558" ht="18" customHeight="1" x14ac:dyDescent="0.2"/>
    <row r="559" ht="18" customHeight="1" x14ac:dyDescent="0.2"/>
    <row r="560" ht="18" customHeight="1" x14ac:dyDescent="0.2"/>
    <row r="561" ht="18" customHeight="1" x14ac:dyDescent="0.2"/>
    <row r="562" ht="18" customHeight="1" x14ac:dyDescent="0.2"/>
    <row r="563" ht="18" customHeight="1" x14ac:dyDescent="0.2"/>
    <row r="564" ht="18" customHeight="1" x14ac:dyDescent="0.2"/>
    <row r="565" ht="18" customHeight="1" x14ac:dyDescent="0.2"/>
    <row r="566" ht="18" customHeight="1" x14ac:dyDescent="0.2"/>
    <row r="567" ht="18" customHeight="1" x14ac:dyDescent="0.2"/>
    <row r="568" ht="18" customHeight="1" x14ac:dyDescent="0.2"/>
    <row r="569" ht="18" customHeight="1" x14ac:dyDescent="0.2"/>
    <row r="570" ht="18" customHeight="1" x14ac:dyDescent="0.2"/>
    <row r="571" ht="18" customHeight="1" x14ac:dyDescent="0.2"/>
    <row r="572" ht="18" customHeight="1" x14ac:dyDescent="0.2"/>
    <row r="573" ht="18" customHeight="1" x14ac:dyDescent="0.2"/>
    <row r="574" ht="18" customHeight="1" x14ac:dyDescent="0.2"/>
    <row r="575" ht="18" customHeight="1" x14ac:dyDescent="0.2"/>
    <row r="576" ht="18" customHeight="1" x14ac:dyDescent="0.2"/>
    <row r="577" ht="18" customHeight="1" x14ac:dyDescent="0.2"/>
    <row r="578" ht="18" customHeight="1" x14ac:dyDescent="0.2"/>
    <row r="579" ht="18" customHeight="1" x14ac:dyDescent="0.2"/>
    <row r="580" ht="18" customHeight="1" x14ac:dyDescent="0.2"/>
    <row r="581" ht="18" customHeight="1" x14ac:dyDescent="0.2"/>
    <row r="582" ht="18" customHeight="1" x14ac:dyDescent="0.2"/>
    <row r="583" ht="18" customHeight="1" x14ac:dyDescent="0.2"/>
    <row r="584" ht="18" customHeight="1" x14ac:dyDescent="0.2"/>
    <row r="585" ht="18" customHeight="1" x14ac:dyDescent="0.2"/>
    <row r="586" ht="18" customHeight="1" x14ac:dyDescent="0.2"/>
    <row r="587" ht="18" customHeight="1" x14ac:dyDescent="0.2"/>
    <row r="588" ht="18" customHeight="1" x14ac:dyDescent="0.2"/>
    <row r="589" ht="18" customHeight="1" x14ac:dyDescent="0.2"/>
    <row r="590" ht="18" customHeight="1" x14ac:dyDescent="0.2"/>
    <row r="591" ht="18" customHeight="1" x14ac:dyDescent="0.2"/>
    <row r="592" ht="18" customHeight="1" x14ac:dyDescent="0.2"/>
    <row r="593" ht="18" customHeight="1" x14ac:dyDescent="0.2"/>
    <row r="594" ht="18" customHeight="1" x14ac:dyDescent="0.2"/>
    <row r="595" ht="18" customHeight="1" x14ac:dyDescent="0.2"/>
    <row r="596" ht="18" customHeight="1" x14ac:dyDescent="0.2"/>
    <row r="597" ht="18" customHeight="1" x14ac:dyDescent="0.2"/>
    <row r="598" ht="18" customHeight="1" x14ac:dyDescent="0.2"/>
    <row r="599" ht="18" customHeight="1" x14ac:dyDescent="0.2"/>
    <row r="600" ht="18" customHeight="1" x14ac:dyDescent="0.2"/>
    <row r="601" ht="18" customHeight="1" x14ac:dyDescent="0.2"/>
    <row r="602" ht="18" customHeight="1" x14ac:dyDescent="0.2"/>
    <row r="603" ht="18" customHeight="1" x14ac:dyDescent="0.2"/>
    <row r="604" ht="18" customHeight="1" x14ac:dyDescent="0.2"/>
    <row r="605" ht="18" customHeight="1" x14ac:dyDescent="0.2"/>
    <row r="606" ht="18" customHeight="1" x14ac:dyDescent="0.2"/>
    <row r="607" ht="18" customHeight="1" x14ac:dyDescent="0.2"/>
    <row r="608" ht="18" customHeight="1" x14ac:dyDescent="0.2"/>
    <row r="609" ht="18" customHeight="1" x14ac:dyDescent="0.2"/>
    <row r="610" ht="18" customHeight="1" x14ac:dyDescent="0.2"/>
    <row r="611" ht="18" customHeight="1" x14ac:dyDescent="0.2"/>
    <row r="612" ht="18" customHeight="1" x14ac:dyDescent="0.2"/>
    <row r="613" ht="18" customHeight="1" x14ac:dyDescent="0.2"/>
    <row r="614" ht="18" customHeight="1" x14ac:dyDescent="0.2"/>
    <row r="615" ht="18" customHeight="1" x14ac:dyDescent="0.2"/>
    <row r="616" ht="18" customHeight="1" x14ac:dyDescent="0.2"/>
    <row r="617" ht="18" customHeight="1" x14ac:dyDescent="0.2"/>
    <row r="618" ht="18" customHeight="1" x14ac:dyDescent="0.2"/>
    <row r="619" ht="18" customHeight="1" x14ac:dyDescent="0.2"/>
    <row r="620" ht="18" customHeight="1" x14ac:dyDescent="0.2"/>
    <row r="621" ht="18" customHeight="1" x14ac:dyDescent="0.2"/>
    <row r="622" ht="18" customHeight="1" x14ac:dyDescent="0.2"/>
    <row r="623" ht="18" customHeight="1" x14ac:dyDescent="0.2"/>
    <row r="624" ht="18" customHeight="1" x14ac:dyDescent="0.2"/>
    <row r="625" ht="18" customHeight="1" x14ac:dyDescent="0.2"/>
    <row r="626" ht="18" customHeight="1" x14ac:dyDescent="0.2"/>
    <row r="627" ht="18" customHeight="1" x14ac:dyDescent="0.2"/>
    <row r="628" ht="18" customHeight="1" x14ac:dyDescent="0.2"/>
    <row r="629" ht="18" customHeight="1" x14ac:dyDescent="0.2"/>
    <row r="630" ht="18" customHeight="1" x14ac:dyDescent="0.2"/>
    <row r="631" ht="18" customHeight="1" x14ac:dyDescent="0.2"/>
    <row r="632" ht="18" customHeight="1" x14ac:dyDescent="0.2"/>
    <row r="633" ht="18" customHeight="1" x14ac:dyDescent="0.2"/>
    <row r="634" ht="18" customHeight="1" x14ac:dyDescent="0.2"/>
    <row r="635" ht="18" customHeight="1" x14ac:dyDescent="0.2"/>
    <row r="636" ht="18" customHeight="1" x14ac:dyDescent="0.2"/>
    <row r="637" ht="18" customHeight="1" x14ac:dyDescent="0.2"/>
    <row r="638" ht="18" customHeight="1" x14ac:dyDescent="0.2"/>
    <row r="639" ht="18" customHeight="1" x14ac:dyDescent="0.2"/>
    <row r="640" ht="18" customHeight="1" x14ac:dyDescent="0.2"/>
    <row r="641" ht="18" customHeight="1" x14ac:dyDescent="0.2"/>
    <row r="642" ht="18" customHeight="1" x14ac:dyDescent="0.2"/>
    <row r="643" ht="18" customHeight="1" x14ac:dyDescent="0.2"/>
    <row r="644" ht="18" customHeight="1" x14ac:dyDescent="0.2"/>
    <row r="645" ht="18" customHeight="1" x14ac:dyDescent="0.2"/>
    <row r="646" ht="18" customHeight="1" x14ac:dyDescent="0.2"/>
    <row r="647" ht="18" customHeight="1" x14ac:dyDescent="0.2"/>
    <row r="648" ht="18" customHeight="1" x14ac:dyDescent="0.2"/>
    <row r="649" ht="18" customHeight="1" x14ac:dyDescent="0.2"/>
    <row r="650" ht="18" customHeight="1" x14ac:dyDescent="0.2"/>
    <row r="651" ht="18" customHeight="1" x14ac:dyDescent="0.2"/>
    <row r="652" ht="18" customHeight="1" x14ac:dyDescent="0.2"/>
    <row r="653" ht="18" customHeight="1" x14ac:dyDescent="0.2"/>
    <row r="654" ht="18" customHeight="1" x14ac:dyDescent="0.2"/>
    <row r="655" ht="18" customHeight="1" x14ac:dyDescent="0.2"/>
    <row r="656" ht="18" customHeight="1" x14ac:dyDescent="0.2"/>
    <row r="657" ht="18" customHeight="1" x14ac:dyDescent="0.2"/>
    <row r="658" ht="18" customHeight="1" x14ac:dyDescent="0.2"/>
    <row r="659" ht="18" customHeight="1" x14ac:dyDescent="0.2"/>
    <row r="660" ht="18" customHeight="1" x14ac:dyDescent="0.2"/>
    <row r="661" ht="18" customHeight="1" x14ac:dyDescent="0.2"/>
    <row r="662" ht="18" customHeight="1" x14ac:dyDescent="0.2"/>
    <row r="663" ht="18" customHeight="1" x14ac:dyDescent="0.2"/>
    <row r="664" ht="18" customHeight="1" x14ac:dyDescent="0.2"/>
    <row r="665" ht="18" customHeight="1" x14ac:dyDescent="0.2"/>
    <row r="666" ht="18" customHeight="1" x14ac:dyDescent="0.2"/>
    <row r="667" ht="18" customHeight="1" x14ac:dyDescent="0.2"/>
    <row r="668" ht="18" customHeight="1" x14ac:dyDescent="0.2"/>
    <row r="669" ht="18" customHeight="1" x14ac:dyDescent="0.2"/>
    <row r="670" ht="18" customHeight="1" x14ac:dyDescent="0.2"/>
    <row r="671" ht="18" customHeight="1" x14ac:dyDescent="0.2"/>
    <row r="672" ht="18" customHeight="1" x14ac:dyDescent="0.2"/>
    <row r="673" ht="18" customHeight="1" x14ac:dyDescent="0.2"/>
    <row r="674" ht="18" customHeight="1" x14ac:dyDescent="0.2"/>
    <row r="675" ht="18" customHeight="1" x14ac:dyDescent="0.2"/>
    <row r="676" ht="18" customHeight="1" x14ac:dyDescent="0.2"/>
    <row r="677" ht="18" customHeight="1" x14ac:dyDescent="0.2"/>
    <row r="678" ht="18" customHeight="1" x14ac:dyDescent="0.2"/>
    <row r="679" ht="18" customHeight="1" x14ac:dyDescent="0.2"/>
    <row r="680" ht="18" customHeight="1" x14ac:dyDescent="0.2"/>
    <row r="681" ht="18" customHeight="1" x14ac:dyDescent="0.2"/>
    <row r="682" ht="18" customHeight="1" x14ac:dyDescent="0.2"/>
    <row r="683" ht="18" customHeight="1" x14ac:dyDescent="0.2"/>
    <row r="684" ht="18" customHeight="1" x14ac:dyDescent="0.2"/>
    <row r="685" ht="18" customHeight="1" x14ac:dyDescent="0.2"/>
    <row r="686" ht="18" customHeight="1" x14ac:dyDescent="0.2"/>
    <row r="687" ht="18" customHeight="1" x14ac:dyDescent="0.2"/>
    <row r="688" ht="18" customHeight="1" x14ac:dyDescent="0.2"/>
    <row r="689" ht="18" customHeight="1" x14ac:dyDescent="0.2"/>
    <row r="690" ht="18" customHeight="1" x14ac:dyDescent="0.2"/>
    <row r="691" ht="18" customHeight="1" x14ac:dyDescent="0.2"/>
    <row r="692" ht="18" customHeight="1" x14ac:dyDescent="0.2"/>
    <row r="693" ht="18" customHeight="1" x14ac:dyDescent="0.2"/>
    <row r="694" ht="18" customHeight="1" x14ac:dyDescent="0.2"/>
    <row r="695" ht="18" customHeight="1" x14ac:dyDescent="0.2"/>
    <row r="696" ht="18" customHeight="1" x14ac:dyDescent="0.2"/>
    <row r="697" ht="18" customHeight="1" x14ac:dyDescent="0.2"/>
    <row r="698" ht="18" customHeight="1" x14ac:dyDescent="0.2"/>
    <row r="699" ht="18" customHeight="1" x14ac:dyDescent="0.2"/>
    <row r="700" ht="18" customHeight="1" x14ac:dyDescent="0.2"/>
    <row r="701" ht="18" customHeight="1" x14ac:dyDescent="0.2"/>
    <row r="702" ht="18" customHeight="1" x14ac:dyDescent="0.2"/>
    <row r="703" ht="18" customHeight="1" x14ac:dyDescent="0.2"/>
    <row r="704" ht="18" customHeight="1" x14ac:dyDescent="0.2"/>
    <row r="705" ht="18" customHeight="1" x14ac:dyDescent="0.2"/>
    <row r="706" ht="18" customHeight="1" x14ac:dyDescent="0.2"/>
    <row r="707" ht="18" customHeight="1" x14ac:dyDescent="0.2"/>
    <row r="708" ht="18" customHeight="1" x14ac:dyDescent="0.2"/>
    <row r="709" ht="18" customHeight="1" x14ac:dyDescent="0.2"/>
    <row r="710" ht="18" customHeight="1" x14ac:dyDescent="0.2"/>
    <row r="711" ht="18" customHeight="1" x14ac:dyDescent="0.2"/>
    <row r="712" ht="18" customHeight="1" x14ac:dyDescent="0.2"/>
    <row r="713" ht="18" customHeight="1" x14ac:dyDescent="0.2"/>
    <row r="714" ht="18" customHeight="1" x14ac:dyDescent="0.2"/>
    <row r="715" ht="18" customHeight="1" x14ac:dyDescent="0.2"/>
    <row r="716" ht="18" customHeight="1" x14ac:dyDescent="0.2"/>
    <row r="717" ht="18" customHeight="1" x14ac:dyDescent="0.2"/>
    <row r="718" ht="18" customHeight="1" x14ac:dyDescent="0.2"/>
    <row r="719" ht="18" customHeight="1" x14ac:dyDescent="0.2"/>
    <row r="720" ht="18" customHeight="1" x14ac:dyDescent="0.2"/>
    <row r="721" ht="18" customHeight="1" x14ac:dyDescent="0.2"/>
    <row r="722" ht="18" customHeight="1" x14ac:dyDescent="0.2"/>
    <row r="723" ht="18" customHeight="1" x14ac:dyDescent="0.2"/>
    <row r="724" ht="18" customHeight="1" x14ac:dyDescent="0.2"/>
    <row r="725" ht="18" customHeight="1" x14ac:dyDescent="0.2"/>
    <row r="726" ht="18" customHeight="1" x14ac:dyDescent="0.2"/>
    <row r="727" ht="18" customHeight="1" x14ac:dyDescent="0.2"/>
    <row r="728" ht="18" customHeight="1" x14ac:dyDescent="0.2"/>
    <row r="729" ht="18" customHeight="1" x14ac:dyDescent="0.2"/>
    <row r="730" ht="18" customHeight="1" x14ac:dyDescent="0.2"/>
    <row r="731" ht="18" customHeight="1" x14ac:dyDescent="0.2"/>
    <row r="732" ht="18" customHeight="1" x14ac:dyDescent="0.2"/>
    <row r="733" ht="18" customHeight="1" x14ac:dyDescent="0.2"/>
    <row r="734" ht="18" customHeight="1" x14ac:dyDescent="0.2"/>
    <row r="735" ht="18" customHeight="1" x14ac:dyDescent="0.2"/>
    <row r="736" ht="18" customHeight="1" x14ac:dyDescent="0.2"/>
    <row r="737" ht="18" customHeight="1" x14ac:dyDescent="0.2"/>
    <row r="738" ht="18" customHeight="1" x14ac:dyDescent="0.2"/>
    <row r="739" ht="18" customHeight="1" x14ac:dyDescent="0.2"/>
    <row r="740" ht="18" customHeight="1" x14ac:dyDescent="0.2"/>
    <row r="741" ht="18" customHeight="1" x14ac:dyDescent="0.2"/>
    <row r="742" ht="18" customHeight="1" x14ac:dyDescent="0.2"/>
    <row r="743" ht="18" customHeight="1" x14ac:dyDescent="0.2"/>
    <row r="744" ht="18" customHeight="1" x14ac:dyDescent="0.2"/>
    <row r="745" ht="18" customHeight="1" x14ac:dyDescent="0.2"/>
    <row r="746" ht="18" customHeight="1" x14ac:dyDescent="0.2"/>
    <row r="747" ht="18" customHeight="1" x14ac:dyDescent="0.2"/>
    <row r="748" ht="18" customHeight="1" x14ac:dyDescent="0.2"/>
    <row r="749" ht="18" customHeight="1" x14ac:dyDescent="0.2"/>
    <row r="750" ht="18" customHeight="1" x14ac:dyDescent="0.2"/>
    <row r="751" ht="18" customHeight="1" x14ac:dyDescent="0.2"/>
    <row r="752" ht="18" customHeight="1" x14ac:dyDescent="0.2"/>
    <row r="753" ht="18" customHeight="1" x14ac:dyDescent="0.2"/>
    <row r="754" ht="18" customHeight="1" x14ac:dyDescent="0.2"/>
    <row r="755" ht="18" customHeight="1" x14ac:dyDescent="0.2"/>
    <row r="756" ht="18" customHeight="1" x14ac:dyDescent="0.2"/>
    <row r="757" ht="18" customHeight="1" x14ac:dyDescent="0.2"/>
    <row r="758" ht="18" customHeight="1" x14ac:dyDescent="0.2"/>
    <row r="759" ht="18" customHeight="1" x14ac:dyDescent="0.2"/>
    <row r="760" ht="18" customHeight="1" x14ac:dyDescent="0.2"/>
    <row r="761" ht="18" customHeight="1" x14ac:dyDescent="0.2"/>
    <row r="762" ht="18" customHeight="1" x14ac:dyDescent="0.2"/>
    <row r="763" ht="18" customHeight="1" x14ac:dyDescent="0.2"/>
    <row r="764" ht="18" customHeight="1" x14ac:dyDescent="0.2"/>
    <row r="765" ht="18" customHeight="1" x14ac:dyDescent="0.2"/>
    <row r="766" ht="18" customHeight="1" x14ac:dyDescent="0.2"/>
    <row r="767" ht="18" customHeight="1" x14ac:dyDescent="0.2"/>
    <row r="768" ht="18" customHeight="1" x14ac:dyDescent="0.2"/>
    <row r="769" ht="18" customHeight="1" x14ac:dyDescent="0.2"/>
    <row r="770" ht="18" customHeight="1" x14ac:dyDescent="0.2"/>
    <row r="771" ht="18" customHeight="1" x14ac:dyDescent="0.2"/>
    <row r="772" ht="18" customHeight="1" x14ac:dyDescent="0.2"/>
    <row r="773" ht="18" customHeight="1" x14ac:dyDescent="0.2"/>
    <row r="774" ht="18" customHeight="1" x14ac:dyDescent="0.2"/>
    <row r="775" ht="18" customHeight="1" x14ac:dyDescent="0.2"/>
    <row r="776" ht="18" customHeight="1" x14ac:dyDescent="0.2"/>
    <row r="777" ht="18" customHeight="1" x14ac:dyDescent="0.2"/>
    <row r="778" ht="18" customHeight="1" x14ac:dyDescent="0.2"/>
    <row r="779" ht="18" customHeight="1" x14ac:dyDescent="0.2"/>
    <row r="780" ht="18" customHeight="1" x14ac:dyDescent="0.2"/>
    <row r="781" ht="18" customHeight="1" x14ac:dyDescent="0.2"/>
    <row r="782" ht="18" customHeight="1" x14ac:dyDescent="0.2"/>
    <row r="783" ht="18" customHeight="1" x14ac:dyDescent="0.2"/>
    <row r="784" ht="18" customHeight="1" x14ac:dyDescent="0.2"/>
    <row r="785" ht="18" customHeight="1" x14ac:dyDescent="0.2"/>
    <row r="786" ht="18" customHeight="1" x14ac:dyDescent="0.2"/>
    <row r="787" ht="18" customHeight="1" x14ac:dyDescent="0.2"/>
    <row r="788" ht="18" customHeight="1" x14ac:dyDescent="0.2"/>
    <row r="789" ht="18" customHeight="1" x14ac:dyDescent="0.2"/>
    <row r="790" ht="18" customHeight="1" x14ac:dyDescent="0.2"/>
    <row r="791" ht="18" customHeight="1" x14ac:dyDescent="0.2"/>
    <row r="792" ht="18" customHeight="1" x14ac:dyDescent="0.2"/>
    <row r="793" ht="18" customHeight="1" x14ac:dyDescent="0.2"/>
    <row r="794" ht="18" customHeight="1" x14ac:dyDescent="0.2"/>
    <row r="795" ht="18" customHeight="1" x14ac:dyDescent="0.2"/>
    <row r="796" ht="18" customHeight="1" x14ac:dyDescent="0.2"/>
    <row r="797" ht="18" customHeight="1" x14ac:dyDescent="0.2"/>
    <row r="798" ht="18" customHeight="1" x14ac:dyDescent="0.2"/>
    <row r="799" ht="18" customHeight="1" x14ac:dyDescent="0.2"/>
    <row r="800" ht="18" customHeight="1" x14ac:dyDescent="0.2"/>
    <row r="801" ht="18" customHeight="1" x14ac:dyDescent="0.2"/>
    <row r="802" ht="18" customHeight="1" x14ac:dyDescent="0.2"/>
    <row r="803" ht="18" customHeight="1" x14ac:dyDescent="0.2"/>
    <row r="804" ht="18" customHeight="1" x14ac:dyDescent="0.2"/>
    <row r="805" ht="18" customHeight="1" x14ac:dyDescent="0.2"/>
    <row r="806" ht="18" customHeight="1" x14ac:dyDescent="0.2"/>
    <row r="807" ht="18" customHeight="1" x14ac:dyDescent="0.2"/>
    <row r="808" ht="18" customHeight="1" x14ac:dyDescent="0.2"/>
    <row r="809" ht="18" customHeight="1" x14ac:dyDescent="0.2"/>
    <row r="810" ht="18" customHeight="1" x14ac:dyDescent="0.2"/>
    <row r="811" ht="18" customHeight="1" x14ac:dyDescent="0.2"/>
    <row r="812" ht="18" customHeight="1" x14ac:dyDescent="0.2"/>
    <row r="813" ht="18" customHeight="1" x14ac:dyDescent="0.2"/>
    <row r="814" ht="18" customHeight="1" x14ac:dyDescent="0.2"/>
    <row r="815" ht="18" customHeight="1" x14ac:dyDescent="0.2"/>
    <row r="816" ht="18" customHeight="1" x14ac:dyDescent="0.2"/>
    <row r="817" ht="18" customHeight="1" x14ac:dyDescent="0.2"/>
    <row r="818" ht="18" customHeight="1" x14ac:dyDescent="0.2"/>
    <row r="819" ht="18" customHeight="1" x14ac:dyDescent="0.2"/>
    <row r="820" ht="18" customHeight="1" x14ac:dyDescent="0.2"/>
    <row r="821" ht="18" customHeight="1" x14ac:dyDescent="0.2"/>
    <row r="822" ht="18" customHeight="1" x14ac:dyDescent="0.2"/>
    <row r="823" ht="18" customHeight="1" x14ac:dyDescent="0.2"/>
    <row r="824" ht="18" customHeight="1" x14ac:dyDescent="0.2"/>
    <row r="825" ht="18" customHeight="1" x14ac:dyDescent="0.2"/>
    <row r="826" ht="18" customHeight="1" x14ac:dyDescent="0.2"/>
    <row r="827" ht="18" customHeight="1" x14ac:dyDescent="0.2"/>
    <row r="828" ht="18" customHeight="1" x14ac:dyDescent="0.2"/>
    <row r="829" ht="18" customHeight="1" x14ac:dyDescent="0.2"/>
    <row r="830" ht="18" customHeight="1" x14ac:dyDescent="0.2"/>
    <row r="831" ht="18" customHeight="1" x14ac:dyDescent="0.2"/>
    <row r="832" ht="18" customHeight="1" x14ac:dyDescent="0.2"/>
    <row r="833" ht="18" customHeight="1" x14ac:dyDescent="0.2"/>
    <row r="834" ht="18" customHeight="1" x14ac:dyDescent="0.2"/>
    <row r="835" ht="18" customHeight="1" x14ac:dyDescent="0.2"/>
    <row r="836" ht="18" customHeight="1" x14ac:dyDescent="0.2"/>
    <row r="837" ht="18" customHeight="1" x14ac:dyDescent="0.2"/>
    <row r="838" ht="18" customHeight="1" x14ac:dyDescent="0.2"/>
    <row r="839" ht="18" customHeight="1" x14ac:dyDescent="0.2"/>
    <row r="840" ht="18" customHeight="1" x14ac:dyDescent="0.2"/>
    <row r="841" ht="18" customHeight="1" x14ac:dyDescent="0.2"/>
    <row r="842" ht="18" customHeight="1" x14ac:dyDescent="0.2"/>
    <row r="843" ht="18" customHeight="1" x14ac:dyDescent="0.2"/>
    <row r="844" ht="18" customHeight="1" x14ac:dyDescent="0.2"/>
    <row r="845" ht="18" customHeight="1" x14ac:dyDescent="0.2"/>
    <row r="846" ht="18" customHeight="1" x14ac:dyDescent="0.2"/>
    <row r="847" ht="18" customHeight="1" x14ac:dyDescent="0.2"/>
    <row r="848" ht="18" customHeight="1" x14ac:dyDescent="0.2"/>
    <row r="849" ht="18" customHeight="1" x14ac:dyDescent="0.2"/>
    <row r="850" ht="18" customHeight="1" x14ac:dyDescent="0.2"/>
    <row r="851" ht="18" customHeight="1" x14ac:dyDescent="0.2"/>
    <row r="852" ht="18" customHeight="1" x14ac:dyDescent="0.2"/>
    <row r="853" ht="18" customHeight="1" x14ac:dyDescent="0.2"/>
    <row r="854" ht="18" customHeight="1" x14ac:dyDescent="0.2"/>
    <row r="855" ht="18" customHeight="1" x14ac:dyDescent="0.2"/>
    <row r="856" ht="18" customHeight="1" x14ac:dyDescent="0.2"/>
    <row r="857" ht="18" customHeight="1" x14ac:dyDescent="0.2"/>
    <row r="858" ht="18" customHeight="1" x14ac:dyDescent="0.2"/>
    <row r="859" ht="18" customHeight="1" x14ac:dyDescent="0.2"/>
    <row r="860" ht="18" customHeight="1" x14ac:dyDescent="0.2"/>
    <row r="861" ht="18" customHeight="1" x14ac:dyDescent="0.2"/>
    <row r="862" ht="18" customHeight="1" x14ac:dyDescent="0.2"/>
    <row r="863" ht="18" customHeight="1" x14ac:dyDescent="0.2"/>
    <row r="864" ht="18" customHeight="1" x14ac:dyDescent="0.2"/>
    <row r="865" ht="18" customHeight="1" x14ac:dyDescent="0.2"/>
    <row r="866" ht="18" customHeight="1" x14ac:dyDescent="0.2"/>
    <row r="867" ht="18" customHeight="1" x14ac:dyDescent="0.2"/>
    <row r="868" ht="18" customHeight="1" x14ac:dyDescent="0.2"/>
    <row r="869" ht="18" customHeight="1" x14ac:dyDescent="0.2"/>
    <row r="870" ht="18" customHeight="1" x14ac:dyDescent="0.2"/>
    <row r="871" ht="18" customHeight="1" x14ac:dyDescent="0.2"/>
    <row r="872" ht="18" customHeight="1" x14ac:dyDescent="0.2"/>
    <row r="873" ht="18" customHeight="1" x14ac:dyDescent="0.2"/>
    <row r="874" ht="18" customHeight="1" x14ac:dyDescent="0.2"/>
    <row r="875" ht="18" customHeight="1" x14ac:dyDescent="0.2"/>
    <row r="876" ht="18" customHeight="1" x14ac:dyDescent="0.2"/>
    <row r="877" ht="18" customHeight="1" x14ac:dyDescent="0.2"/>
    <row r="878" ht="18" customHeight="1" x14ac:dyDescent="0.2"/>
    <row r="879" ht="18" customHeight="1" x14ac:dyDescent="0.2"/>
    <row r="880" ht="18" customHeight="1" x14ac:dyDescent="0.2"/>
    <row r="881" ht="18" customHeight="1" x14ac:dyDescent="0.2"/>
    <row r="882" ht="18" customHeight="1" x14ac:dyDescent="0.2"/>
    <row r="883" ht="18" customHeight="1" x14ac:dyDescent="0.2"/>
    <row r="884" ht="18" customHeight="1" x14ac:dyDescent="0.2"/>
    <row r="885" ht="18" customHeight="1" x14ac:dyDescent="0.2"/>
    <row r="886" ht="18" customHeight="1" x14ac:dyDescent="0.2"/>
    <row r="887" ht="18" customHeight="1" x14ac:dyDescent="0.2"/>
    <row r="888" ht="18" customHeight="1" x14ac:dyDescent="0.2"/>
    <row r="889" ht="18" customHeight="1" x14ac:dyDescent="0.2"/>
    <row r="890" ht="18" customHeight="1" x14ac:dyDescent="0.2"/>
    <row r="891" ht="18" customHeight="1" x14ac:dyDescent="0.2"/>
    <row r="892" ht="18" customHeight="1" x14ac:dyDescent="0.2"/>
    <row r="893" ht="18" customHeight="1" x14ac:dyDescent="0.2"/>
    <row r="894" ht="18" customHeight="1" x14ac:dyDescent="0.2"/>
    <row r="895" ht="18" customHeight="1" x14ac:dyDescent="0.2"/>
    <row r="896" ht="18" customHeight="1" x14ac:dyDescent="0.2"/>
    <row r="897" ht="18" customHeight="1" x14ac:dyDescent="0.2"/>
    <row r="898" ht="18" customHeight="1" x14ac:dyDescent="0.2"/>
    <row r="899" ht="18" customHeight="1" x14ac:dyDescent="0.2"/>
    <row r="900" ht="18" customHeight="1" x14ac:dyDescent="0.2"/>
    <row r="901" ht="18" customHeight="1" x14ac:dyDescent="0.2"/>
    <row r="902" ht="18" customHeight="1" x14ac:dyDescent="0.2"/>
    <row r="903" ht="18" customHeight="1" x14ac:dyDescent="0.2"/>
    <row r="904" ht="18" customHeight="1" x14ac:dyDescent="0.2"/>
    <row r="905" ht="18" customHeight="1" x14ac:dyDescent="0.2"/>
    <row r="906" ht="18" customHeight="1" x14ac:dyDescent="0.2"/>
    <row r="907" ht="18" customHeight="1" x14ac:dyDescent="0.2"/>
    <row r="908" ht="18" customHeight="1" x14ac:dyDescent="0.2"/>
    <row r="909" ht="18" customHeight="1" x14ac:dyDescent="0.2"/>
    <row r="910" ht="18" customHeight="1" x14ac:dyDescent="0.2"/>
    <row r="911" ht="18" customHeight="1" x14ac:dyDescent="0.2"/>
    <row r="912" ht="18" customHeight="1" x14ac:dyDescent="0.2"/>
    <row r="913" ht="18" customHeight="1" x14ac:dyDescent="0.2"/>
    <row r="914" ht="18" customHeight="1" x14ac:dyDescent="0.2"/>
    <row r="915" ht="18" customHeight="1" x14ac:dyDescent="0.2"/>
    <row r="916" ht="18" customHeight="1" x14ac:dyDescent="0.2"/>
    <row r="917" ht="18" customHeight="1" x14ac:dyDescent="0.2"/>
    <row r="918" ht="18" customHeight="1" x14ac:dyDescent="0.2"/>
    <row r="919" ht="18" customHeight="1" x14ac:dyDescent="0.2"/>
    <row r="920" ht="18" customHeight="1" x14ac:dyDescent="0.2"/>
    <row r="921" ht="18" customHeight="1" x14ac:dyDescent="0.2"/>
    <row r="922" ht="18" customHeight="1" x14ac:dyDescent="0.2"/>
    <row r="923" ht="18" customHeight="1" x14ac:dyDescent="0.2"/>
    <row r="924" ht="18" customHeight="1" x14ac:dyDescent="0.2"/>
    <row r="925" ht="18" customHeight="1" x14ac:dyDescent="0.2"/>
    <row r="926" ht="18" customHeight="1" x14ac:dyDescent="0.2"/>
    <row r="927" ht="18" customHeight="1" x14ac:dyDescent="0.2"/>
    <row r="928" ht="18" customHeight="1" x14ac:dyDescent="0.2"/>
    <row r="929" ht="18" customHeight="1" x14ac:dyDescent="0.2"/>
    <row r="930" ht="18" customHeight="1" x14ac:dyDescent="0.2"/>
    <row r="931" ht="18" customHeight="1" x14ac:dyDescent="0.2"/>
    <row r="932" ht="18" customHeight="1" x14ac:dyDescent="0.2"/>
    <row r="933" ht="18" customHeight="1" x14ac:dyDescent="0.2"/>
    <row r="934" ht="18" customHeight="1" x14ac:dyDescent="0.2"/>
    <row r="935" ht="18" customHeight="1" x14ac:dyDescent="0.2"/>
    <row r="936" ht="18" customHeight="1" x14ac:dyDescent="0.2"/>
    <row r="937" ht="18" customHeight="1" x14ac:dyDescent="0.2"/>
    <row r="938" ht="18" customHeight="1" x14ac:dyDescent="0.2"/>
    <row r="939" ht="18" customHeight="1" x14ac:dyDescent="0.2"/>
    <row r="940" ht="18" customHeight="1" x14ac:dyDescent="0.2"/>
    <row r="941" ht="18" customHeight="1" x14ac:dyDescent="0.2"/>
    <row r="942" ht="18" customHeight="1" x14ac:dyDescent="0.2"/>
    <row r="943" ht="18" customHeight="1" x14ac:dyDescent="0.2"/>
    <row r="944" ht="18" customHeight="1" x14ac:dyDescent="0.2"/>
    <row r="945" ht="18" customHeight="1" x14ac:dyDescent="0.2"/>
    <row r="946" ht="18" customHeight="1" x14ac:dyDescent="0.2"/>
    <row r="947" ht="18" customHeight="1" x14ac:dyDescent="0.2"/>
    <row r="948" ht="18" customHeight="1" x14ac:dyDescent="0.2"/>
    <row r="949" ht="18" customHeight="1" x14ac:dyDescent="0.2"/>
    <row r="950" ht="18" customHeight="1" x14ac:dyDescent="0.2"/>
    <row r="951" ht="18" customHeight="1" x14ac:dyDescent="0.2"/>
    <row r="952" ht="18" customHeight="1" x14ac:dyDescent="0.2"/>
    <row r="953" ht="18" customHeight="1" x14ac:dyDescent="0.2"/>
    <row r="954" ht="18" customHeight="1" x14ac:dyDescent="0.2"/>
    <row r="955" ht="18" customHeight="1" x14ac:dyDescent="0.2"/>
    <row r="956" ht="18" customHeight="1" x14ac:dyDescent="0.2"/>
    <row r="957" ht="18" customHeight="1" x14ac:dyDescent="0.2"/>
    <row r="958" ht="18" customHeight="1" x14ac:dyDescent="0.2"/>
    <row r="959" ht="18" customHeight="1" x14ac:dyDescent="0.2"/>
    <row r="960" ht="18" customHeight="1" x14ac:dyDescent="0.2"/>
    <row r="961" ht="18" customHeight="1" x14ac:dyDescent="0.2"/>
    <row r="962" ht="18" customHeight="1" x14ac:dyDescent="0.2"/>
    <row r="963" ht="18" customHeight="1" x14ac:dyDescent="0.2"/>
    <row r="964" ht="18" customHeight="1" x14ac:dyDescent="0.2"/>
    <row r="965" ht="18" customHeight="1" x14ac:dyDescent="0.2"/>
    <row r="966" ht="18" customHeight="1" x14ac:dyDescent="0.2"/>
    <row r="967" ht="18" customHeight="1" x14ac:dyDescent="0.2"/>
    <row r="968" ht="18" customHeight="1" x14ac:dyDescent="0.2"/>
    <row r="969" ht="18" customHeight="1" x14ac:dyDescent="0.2"/>
    <row r="970" ht="18" customHeight="1" x14ac:dyDescent="0.2"/>
    <row r="971" ht="18" customHeight="1" x14ac:dyDescent="0.2"/>
    <row r="972" ht="18" customHeight="1" x14ac:dyDescent="0.2"/>
    <row r="973" ht="18" customHeight="1" x14ac:dyDescent="0.2"/>
    <row r="974" ht="18" customHeight="1" x14ac:dyDescent="0.2"/>
    <row r="975" ht="18" customHeight="1" x14ac:dyDescent="0.2"/>
    <row r="976" ht="18" customHeight="1" x14ac:dyDescent="0.2"/>
    <row r="977" ht="18" customHeight="1" x14ac:dyDescent="0.2"/>
    <row r="978" ht="18" customHeight="1" x14ac:dyDescent="0.2"/>
    <row r="979" ht="18" customHeight="1" x14ac:dyDescent="0.2"/>
    <row r="980" ht="18" customHeight="1" x14ac:dyDescent="0.2"/>
    <row r="981" ht="18" customHeight="1" x14ac:dyDescent="0.2"/>
    <row r="982" ht="18" customHeight="1" x14ac:dyDescent="0.2"/>
    <row r="983" ht="18" customHeight="1" x14ac:dyDescent="0.2"/>
    <row r="984" ht="18" customHeight="1" x14ac:dyDescent="0.2"/>
    <row r="985" ht="18" customHeight="1" x14ac:dyDescent="0.2"/>
    <row r="986" ht="18" customHeight="1" x14ac:dyDescent="0.2"/>
    <row r="987" ht="18" customHeight="1" x14ac:dyDescent="0.2"/>
    <row r="988" ht="18" customHeight="1" x14ac:dyDescent="0.2"/>
    <row r="989" ht="18" customHeight="1" x14ac:dyDescent="0.2"/>
    <row r="990" ht="18" customHeight="1" x14ac:dyDescent="0.2"/>
    <row r="991" ht="18" customHeight="1" x14ac:dyDescent="0.2"/>
    <row r="992" ht="18" customHeight="1" x14ac:dyDescent="0.2"/>
    <row r="993" ht="18" customHeight="1" x14ac:dyDescent="0.2"/>
    <row r="994" ht="18" customHeight="1" x14ac:dyDescent="0.2"/>
    <row r="995" ht="18" customHeight="1" x14ac:dyDescent="0.2"/>
    <row r="996" ht="18" customHeight="1" x14ac:dyDescent="0.2"/>
    <row r="997" ht="18" customHeight="1" x14ac:dyDescent="0.2"/>
    <row r="998" ht="18" customHeight="1" x14ac:dyDescent="0.2"/>
    <row r="999" ht="18" customHeight="1" x14ac:dyDescent="0.2"/>
  </sheetData>
  <sheetProtection formatCells="0"/>
  <mergeCells count="76">
    <mergeCell ref="N1:U17"/>
    <mergeCell ref="B25:C25"/>
    <mergeCell ref="J4:M12"/>
    <mergeCell ref="B36:C36"/>
    <mergeCell ref="B37:C37"/>
    <mergeCell ref="B30:C30"/>
    <mergeCell ref="B35:C35"/>
    <mergeCell ref="D7:G7"/>
    <mergeCell ref="D5:G5"/>
    <mergeCell ref="D6:G6"/>
    <mergeCell ref="D9:G9"/>
    <mergeCell ref="D8:I8"/>
    <mergeCell ref="J3:M3"/>
    <mergeCell ref="A32:C32"/>
    <mergeCell ref="A33:C33"/>
    <mergeCell ref="D4:I4"/>
    <mergeCell ref="I40:L40"/>
    <mergeCell ref="D40:G40"/>
    <mergeCell ref="D39:M39"/>
    <mergeCell ref="D12:G12"/>
    <mergeCell ref="A23:C23"/>
    <mergeCell ref="A13:C13"/>
    <mergeCell ref="A34:C34"/>
    <mergeCell ref="B17:C17"/>
    <mergeCell ref="A1:M2"/>
    <mergeCell ref="B20:C20"/>
    <mergeCell ref="B7:C7"/>
    <mergeCell ref="A3:C3"/>
    <mergeCell ref="B31:C31"/>
    <mergeCell ref="B27:C27"/>
    <mergeCell ref="B21:C21"/>
    <mergeCell ref="B22:C22"/>
    <mergeCell ref="B24:C24"/>
    <mergeCell ref="B26:C26"/>
    <mergeCell ref="B28:C28"/>
    <mergeCell ref="B29:C29"/>
    <mergeCell ref="D3:I3"/>
    <mergeCell ref="D10:G10"/>
    <mergeCell ref="D11:G11"/>
    <mergeCell ref="B70:C70"/>
    <mergeCell ref="D70:E70"/>
    <mergeCell ref="A59:G60"/>
    <mergeCell ref="D43:G43"/>
    <mergeCell ref="A61:G61"/>
    <mergeCell ref="A49:M52"/>
    <mergeCell ref="J61:M61"/>
    <mergeCell ref="H59:H60"/>
    <mergeCell ref="I59:I60"/>
    <mergeCell ref="A53:G54"/>
    <mergeCell ref="A56:I57"/>
    <mergeCell ref="H55:I55"/>
    <mergeCell ref="I44:L44"/>
    <mergeCell ref="B81:C81"/>
    <mergeCell ref="A76:M76"/>
    <mergeCell ref="D46:H47"/>
    <mergeCell ref="I46:M47"/>
    <mergeCell ref="I45:L45"/>
    <mergeCell ref="A64:AC64"/>
    <mergeCell ref="B72:E72"/>
    <mergeCell ref="L54:M54"/>
    <mergeCell ref="J59:M59"/>
    <mergeCell ref="J60:M60"/>
    <mergeCell ref="H61:I61"/>
    <mergeCell ref="H54:I54"/>
    <mergeCell ref="L56:M56"/>
    <mergeCell ref="J56:K56"/>
    <mergeCell ref="J54:K54"/>
    <mergeCell ref="A66:E66"/>
    <mergeCell ref="I41:L41"/>
    <mergeCell ref="D41:G41"/>
    <mergeCell ref="D44:G44"/>
    <mergeCell ref="O145:R145"/>
    <mergeCell ref="I42:L42"/>
    <mergeCell ref="I43:L43"/>
    <mergeCell ref="D42:G42"/>
    <mergeCell ref="O122:P123"/>
  </mergeCells>
  <phoneticPr fontId="7" type="noConversion"/>
  <conditionalFormatting sqref="B30">
    <cfRule type="cellIs" dxfId="9" priority="10" operator="lessThan">
      <formula>0</formula>
    </cfRule>
  </conditionalFormatting>
  <conditionalFormatting sqref="A33">
    <cfRule type="expression" dxfId="8" priority="9">
      <formula>B29&lt;0</formula>
    </cfRule>
  </conditionalFormatting>
  <conditionalFormatting sqref="A34">
    <cfRule type="expression" dxfId="7" priority="8">
      <formula>B30&lt;0</formula>
    </cfRule>
  </conditionalFormatting>
  <conditionalFormatting sqref="D46">
    <cfRule type="expression" dxfId="6" priority="45">
      <formula>AND(B24&lt;&gt;0,OR(H43&lt;=H42-0.0001,$H$45="NEI"))</formula>
    </cfRule>
    <cfRule type="expression" dxfId="5" priority="46">
      <formula>AND(B24&lt;&gt;0,H43&gt;H42-0.0001,$H$45="OK")</formula>
    </cfRule>
  </conditionalFormatting>
  <conditionalFormatting sqref="I46">
    <cfRule type="expression" dxfId="4" priority="47">
      <formula>AND(B24&lt;&gt;0,M44&lt;H41)</formula>
    </cfRule>
    <cfRule type="expression" dxfId="3" priority="48">
      <formula>AND(B24&lt;&gt;0,M44&gt;H41)</formula>
    </cfRule>
  </conditionalFormatting>
  <conditionalFormatting sqref="H45">
    <cfRule type="expression" dxfId="2" priority="2">
      <formula>AND($B$17="Ja",$H$45&lt;0.3)</formula>
    </cfRule>
    <cfRule type="expression" dxfId="1" priority="3">
      <formula>AND($B$17="Nei",$H$45&lt;1/3)</formula>
    </cfRule>
  </conditionalFormatting>
  <conditionalFormatting sqref="H40">
    <cfRule type="expression" dxfId="0" priority="1">
      <formula>$H$40&lt;0</formula>
    </cfRule>
  </conditionalFormatting>
  <dataValidations count="2">
    <dataValidation type="list" showErrorMessage="1" sqref="B25:C25" xr:uid="{BDF773A9-5D39-4C04-B644-B3C85D0FD507}">
      <formula1>$R$95:$R$96</formula1>
    </dataValidation>
    <dataValidation type="list" allowBlank="1" showInputMessage="1" showErrorMessage="1" sqref="B17" xr:uid="{AF0C035A-4B55-482B-9532-EBF12B60D714}">
      <formula1>$R$122:$R$123</formula1>
    </dataValidation>
  </dataValidations>
  <pageMargins left="0.82677165354330717" right="0.43307086614173229" top="1.0236220472440944" bottom="0.82677165354330717" header="0.27559055118110237" footer="0.19685039370078741"/>
  <pageSetup paperSize="9" scale="62" orientation="portrait" r:id="rId1"/>
  <headerFooter alignWithMargins="0">
    <oddFooter>&amp;C&amp;Z&amp;F_x000D_&amp;1#&amp;"Verdana"&amp;7&amp;K000000 Confidential</oddFooter>
  </headerFooter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06d2b06-88aa-4457-bea7-a94ee17767b9">
      <Terms xmlns="http://schemas.microsoft.com/office/infopath/2007/PartnerControls"/>
    </lcf76f155ced4ddcb4097134ff3c332f>
    <TaxCatchAll xmlns="4accbe77-7b0c-4c77-945d-4829aff6ad53" xsi:nil="true"/>
    <Informasjon xmlns="906d2b06-88aa-4457-bea7-a94ee17767b9"/>
    <Aa xmlns="906d2b06-88aa-4457-bea7-a94ee17767b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96685162399124E98A01D090745AC18" ma:contentTypeVersion="17" ma:contentTypeDescription="Opprett et nytt dokument." ma:contentTypeScope="" ma:versionID="88fb8725d0de30fbca15fa646292d43d">
  <xsd:schema xmlns:xsd="http://www.w3.org/2001/XMLSchema" xmlns:xs="http://www.w3.org/2001/XMLSchema" xmlns:p="http://schemas.microsoft.com/office/2006/metadata/properties" xmlns:ns2="906d2b06-88aa-4457-bea7-a94ee17767b9" xmlns:ns3="4accbe77-7b0c-4c77-945d-4829aff6ad53" targetNamespace="http://schemas.microsoft.com/office/2006/metadata/properties" ma:root="true" ma:fieldsID="b435cbb0e59fda25ba01a80071ebc375" ns2:_="" ns3:_="">
    <xsd:import namespace="906d2b06-88aa-4457-bea7-a94ee17767b9"/>
    <xsd:import namespace="4accbe77-7b0c-4c77-945d-4829aff6ad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bjectDetectorVersions" minOccurs="0"/>
                <xsd:element ref="ns2:Informasjon"/>
                <xsd:element ref="ns2:MediaServiceSearchProperties" minOccurs="0"/>
                <xsd:element ref="ns2:A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6d2b06-88aa-4457-bea7-a94ee17767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Bildemerkelapper" ma:readOnly="false" ma:fieldId="{5cf76f15-5ced-4ddc-b409-7134ff3c332f}" ma:taxonomyMulti="true" ma:sspId="2a0716b9-ea6c-4544-a4bd-65ac324c60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Informasjon" ma:index="22" ma:displayName="Informasjon" ma:internalName="Informasjon">
      <xsd:simpleType>
        <xsd:restriction base="dms:Note">
          <xsd:maxLength value="255"/>
        </xsd:restriction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Aa" ma:index="24" nillable="true" ma:displayName="Aa" ma:internalName="Aa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ccbe77-7b0c-4c77-945d-4829aff6ad5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6e890b0f-1d1b-4634-af71-2c278e940f58}" ma:internalName="TaxCatchAll" ma:showField="CatchAllData" ma:web="4accbe77-7b0c-4c77-945d-4829aff6ad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8159DB-0FDB-4A72-BE18-88D7880FDD2E}">
  <ds:schemaRefs>
    <ds:schemaRef ds:uri="http://schemas.microsoft.com/office/2006/metadata/properties"/>
    <ds:schemaRef ds:uri="http://schemas.microsoft.com/office/infopath/2007/PartnerControls"/>
    <ds:schemaRef ds:uri="906d2b06-88aa-4457-bea7-a94ee17767b9"/>
    <ds:schemaRef ds:uri="4accbe77-7b0c-4c77-945d-4829aff6ad53"/>
  </ds:schemaRefs>
</ds:datastoreItem>
</file>

<file path=customXml/itemProps2.xml><?xml version="1.0" encoding="utf-8"?>
<ds:datastoreItem xmlns:ds="http://schemas.openxmlformats.org/officeDocument/2006/customXml" ds:itemID="{11C0F016-EB49-481D-A7DC-BAA2C5C175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CF7234-9212-45B5-9FA7-DEA67BCA96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6d2b06-88aa-4457-bea7-a94ee17767b9"/>
    <ds:schemaRef ds:uri="4accbe77-7b0c-4c77-945d-4829aff6ad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60</vt:i4>
      </vt:variant>
    </vt:vector>
  </HeadingPairs>
  <TitlesOfParts>
    <vt:vector size="62" baseType="lpstr">
      <vt:lpstr>Forside</vt:lpstr>
      <vt:lpstr>Beregning</vt:lpstr>
      <vt:lpstr>attraksjon_bak_mur</vt:lpstr>
      <vt:lpstr>attraksjon_under_mur</vt:lpstr>
      <vt:lpstr>Avstand_fra_murfront_for_vertikal_kraft__xp</vt:lpstr>
      <vt:lpstr>bo_effektiv_fundamentbredde</vt:lpstr>
      <vt:lpstr>Boggilast_bak_mur__qQk</vt:lpstr>
      <vt:lpstr>bæreevnefaktor</vt:lpstr>
      <vt:lpstr>db_helning_av_bakkant_mur</vt:lpstr>
      <vt:lpstr>delta_murhelning_for_Kd_beregning</vt:lpstr>
      <vt:lpstr>e_vertikalresultantens_eksentrisitet</vt:lpstr>
      <vt:lpstr>eff._tyngde_for_matr._over_murnivå</vt:lpstr>
      <vt:lpstr>Eh_samlet_jordtrykk_på_bakkant_mur</vt:lpstr>
      <vt:lpstr>ekstra_bredde_av_bunnblokk_er</vt:lpstr>
      <vt:lpstr>faktor_N</vt:lpstr>
      <vt:lpstr>friksjonsvinkel_for_matr._bak_muren</vt:lpstr>
      <vt:lpstr>friksjonsvinkel_for_matr._under_muren</vt:lpstr>
      <vt:lpstr>fsa_red.faktor_for_skrånende_terreng</vt:lpstr>
      <vt:lpstr>fsq_red.faktor_for_skrånende_terreng</vt:lpstr>
      <vt:lpstr>Gvekt</vt:lpstr>
      <vt:lpstr>K_A_korrigert</vt:lpstr>
      <vt:lpstr>K_Aktiv</vt:lpstr>
      <vt:lpstr>Beregning!K_delta</vt:lpstr>
      <vt:lpstr>K_delta</vt:lpstr>
      <vt:lpstr>Lastfaktor__γQ</vt:lpstr>
      <vt:lpstr>materialfaktor</vt:lpstr>
      <vt:lpstr>Momentarm_vertikallast_cpv</vt:lpstr>
      <vt:lpstr>murens_bredde_ved_bunn</vt:lpstr>
      <vt:lpstr>murens_bredde_øverst</vt:lpstr>
      <vt:lpstr>murens_fotdybde</vt:lpstr>
      <vt:lpstr>murens_helning</vt:lpstr>
      <vt:lpstr>murens_vekt</vt:lpstr>
      <vt:lpstr>murhøyde_inkl._fotdybde</vt:lpstr>
      <vt:lpstr>Ngamma_bæreevnefaktor</vt:lpstr>
      <vt:lpstr>Nq_bæreevnefaktor</vt:lpstr>
      <vt:lpstr>Nyttelast_bak_mur</vt:lpstr>
      <vt:lpstr>Omega_a</vt:lpstr>
      <vt:lpstr>omega_radianer</vt:lpstr>
      <vt:lpstr>p_gamma</vt:lpstr>
      <vt:lpstr>pi</vt:lpstr>
      <vt:lpstr>Beregning!Print_Area</vt:lpstr>
      <vt:lpstr>Forside!Print_Area</vt:lpstr>
      <vt:lpstr>Qv_vertikalresultant</vt:lpstr>
      <vt:lpstr>qv_vertikalspenning__gjennomsnittlig</vt:lpstr>
      <vt:lpstr>ruhet_bak_muren</vt:lpstr>
      <vt:lpstr>s_hellende_terreng_bak_mur</vt:lpstr>
      <vt:lpstr>s_jordtrykk</vt:lpstr>
      <vt:lpstr>spes._tyngde_for_muren</vt:lpstr>
      <vt:lpstr>spes_tyngde_for_matr._under_mur</vt:lpstr>
      <vt:lpstr>spesifikk_tyngde_bak_muren</vt:lpstr>
      <vt:lpstr>t_hellende_terreng_bak_mur</vt:lpstr>
      <vt:lpstr>TA_skjærkraft_på_bakskråning</vt:lpstr>
      <vt:lpstr>tanro_mob._friksjonsvinkel_bak_mur</vt:lpstr>
      <vt:lpstr>tanro_mob._friksjonsvinkel_under_mur</vt:lpstr>
      <vt:lpstr>tanro_under_mur</vt:lpstr>
      <vt:lpstr>terrenghelning_foran_muren</vt:lpstr>
      <vt:lpstr>terrenghelning_over_bakenfor_muren</vt:lpstr>
      <vt:lpstr>tilhørende_momentarm_c1</vt:lpstr>
      <vt:lpstr>tilhørende_momentarm_c2</vt:lpstr>
      <vt:lpstr>tilhørende_momentarm_c3</vt:lpstr>
      <vt:lpstr>tilhørende_momentarm_c4</vt:lpstr>
      <vt:lpstr>Vertikallast_topp_mur_PV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Fredrik Åsheim Falle</dc:creator>
  <cp:keywords/>
  <dc:description/>
  <cp:lastModifiedBy>Fredrik Falle</cp:lastModifiedBy>
  <cp:revision/>
  <dcterms:created xsi:type="dcterms:W3CDTF">2002-03-12T14:24:39Z</dcterms:created>
  <dcterms:modified xsi:type="dcterms:W3CDTF">2026-03-23T09:36:42Z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0x010100596685162399124E98A01D090745AC18</vt:lpwstr>
  </property>
  <property fmtid="{D5CDD505-2E9C-101B-9397-08002B2CF9AE}" pid="3" name="MediaServiceImageTags">
    <vt:lpwstr/>
  </property>
  <property fmtid="{D5CDD505-2E9C-101B-9397-08002B2CF9AE}" pid="4" name="MSIP_Label_20ea7001-5c24-4702-a3ac-e436ccb02747_Enabled">
    <vt:lpwstr>true</vt:lpwstr>
  </property>
  <property fmtid="{D5CDD505-2E9C-101B-9397-08002B2CF9AE}" pid="5" name="MSIP_Label_20ea7001-5c24-4702-a3ac-e436ccb02747_SetDate">
    <vt:lpwstr>2024-03-19T19:27:56Z</vt:lpwstr>
  </property>
  <property fmtid="{D5CDD505-2E9C-101B-9397-08002B2CF9AE}" pid="6" name="MSIP_Label_20ea7001-5c24-4702-a3ac-e436ccb02747_Method">
    <vt:lpwstr>Standard</vt:lpwstr>
  </property>
  <property fmtid="{D5CDD505-2E9C-101B-9397-08002B2CF9AE}" pid="7" name="MSIP_Label_20ea7001-5c24-4702-a3ac-e436ccb02747_Name">
    <vt:lpwstr>Confidential</vt:lpwstr>
  </property>
  <property fmtid="{D5CDD505-2E9C-101B-9397-08002B2CF9AE}" pid="8" name="MSIP_Label_20ea7001-5c24-4702-a3ac-e436ccb02747_SiteId">
    <vt:lpwstr>c8823c91-be81-4f89-b024-6c3dd789c106</vt:lpwstr>
  </property>
  <property fmtid="{D5CDD505-2E9C-101B-9397-08002B2CF9AE}" pid="9" name="MSIP_Label_20ea7001-5c24-4702-a3ac-e436ccb02747_ActionId">
    <vt:lpwstr>deb00f58-08e0-4375-9a8e-53e20319e4a7</vt:lpwstr>
  </property>
  <property fmtid="{D5CDD505-2E9C-101B-9397-08002B2CF9AE}" pid="10" name="MSIP_Label_20ea7001-5c24-4702-a3ac-e436ccb02747_ContentBits">
    <vt:lpwstr>2</vt:lpwstr>
  </property>
  <property fmtid="{D5CDD505-2E9C-101B-9397-08002B2CF9AE}" pid="11" name="Folder_Number">
    <vt:lpwstr/>
  </property>
  <property fmtid="{D5CDD505-2E9C-101B-9397-08002B2CF9AE}" pid="12" name="Folder_Code">
    <vt:lpwstr/>
  </property>
  <property fmtid="{D5CDD505-2E9C-101B-9397-08002B2CF9AE}" pid="13" name="Folder_Name">
    <vt:lpwstr/>
  </property>
  <property fmtid="{D5CDD505-2E9C-101B-9397-08002B2CF9AE}" pid="14" name="Folder_Description">
    <vt:lpwstr/>
  </property>
  <property fmtid="{D5CDD505-2E9C-101B-9397-08002B2CF9AE}" pid="15" name="/Folder_Name/">
    <vt:lpwstr/>
  </property>
  <property fmtid="{D5CDD505-2E9C-101B-9397-08002B2CF9AE}" pid="16" name="/Folder_Description/">
    <vt:lpwstr/>
  </property>
  <property fmtid="{D5CDD505-2E9C-101B-9397-08002B2CF9AE}" pid="17" name="Folder_Version">
    <vt:lpwstr/>
  </property>
  <property fmtid="{D5CDD505-2E9C-101B-9397-08002B2CF9AE}" pid="18" name="Folder_VersionSeq">
    <vt:lpwstr/>
  </property>
  <property fmtid="{D5CDD505-2E9C-101B-9397-08002B2CF9AE}" pid="19" name="Folder_Manager">
    <vt:lpwstr/>
  </property>
  <property fmtid="{D5CDD505-2E9C-101B-9397-08002B2CF9AE}" pid="20" name="Folder_ManagerDesc">
    <vt:lpwstr/>
  </property>
  <property fmtid="{D5CDD505-2E9C-101B-9397-08002B2CF9AE}" pid="21" name="Folder_Storage">
    <vt:lpwstr/>
  </property>
  <property fmtid="{D5CDD505-2E9C-101B-9397-08002B2CF9AE}" pid="22" name="Folder_StorageDesc">
    <vt:lpwstr/>
  </property>
  <property fmtid="{D5CDD505-2E9C-101B-9397-08002B2CF9AE}" pid="23" name="Folder_Creator">
    <vt:lpwstr/>
  </property>
  <property fmtid="{D5CDD505-2E9C-101B-9397-08002B2CF9AE}" pid="24" name="Folder_CreatorDesc">
    <vt:lpwstr/>
  </property>
  <property fmtid="{D5CDD505-2E9C-101B-9397-08002B2CF9AE}" pid="25" name="Folder_CreateDate">
    <vt:lpwstr/>
  </property>
  <property fmtid="{D5CDD505-2E9C-101B-9397-08002B2CF9AE}" pid="26" name="Folder_Updater">
    <vt:lpwstr/>
  </property>
  <property fmtid="{D5CDD505-2E9C-101B-9397-08002B2CF9AE}" pid="27" name="Folder_UpdaterDesc">
    <vt:lpwstr/>
  </property>
  <property fmtid="{D5CDD505-2E9C-101B-9397-08002B2CF9AE}" pid="28" name="Folder_UpdateDate">
    <vt:lpwstr/>
  </property>
  <property fmtid="{D5CDD505-2E9C-101B-9397-08002B2CF9AE}" pid="29" name="Document_Number">
    <vt:lpwstr/>
  </property>
  <property fmtid="{D5CDD505-2E9C-101B-9397-08002B2CF9AE}" pid="30" name="Document_Name">
    <vt:lpwstr/>
  </property>
  <property fmtid="{D5CDD505-2E9C-101B-9397-08002B2CF9AE}" pid="31" name="Document_FileName">
    <vt:lpwstr/>
  </property>
  <property fmtid="{D5CDD505-2E9C-101B-9397-08002B2CF9AE}" pid="32" name="Document_Version">
    <vt:lpwstr/>
  </property>
  <property fmtid="{D5CDD505-2E9C-101B-9397-08002B2CF9AE}" pid="33" name="Document_VersionSeq">
    <vt:lpwstr/>
  </property>
  <property fmtid="{D5CDD505-2E9C-101B-9397-08002B2CF9AE}" pid="34" name="Document_Creator">
    <vt:lpwstr/>
  </property>
  <property fmtid="{D5CDD505-2E9C-101B-9397-08002B2CF9AE}" pid="35" name="Document_CreatorDesc">
    <vt:lpwstr/>
  </property>
  <property fmtid="{D5CDD505-2E9C-101B-9397-08002B2CF9AE}" pid="36" name="Document_CreateDate">
    <vt:lpwstr/>
  </property>
  <property fmtid="{D5CDD505-2E9C-101B-9397-08002B2CF9AE}" pid="37" name="Document_Updater">
    <vt:lpwstr/>
  </property>
  <property fmtid="{D5CDD505-2E9C-101B-9397-08002B2CF9AE}" pid="38" name="Document_UpdaterDesc">
    <vt:lpwstr/>
  </property>
  <property fmtid="{D5CDD505-2E9C-101B-9397-08002B2CF9AE}" pid="39" name="Document_UpdateDate">
    <vt:lpwstr/>
  </property>
  <property fmtid="{D5CDD505-2E9C-101B-9397-08002B2CF9AE}" pid="40" name="Document_Size">
    <vt:lpwstr/>
  </property>
  <property fmtid="{D5CDD505-2E9C-101B-9397-08002B2CF9AE}" pid="41" name="Document_Storage">
    <vt:lpwstr/>
  </property>
  <property fmtid="{D5CDD505-2E9C-101B-9397-08002B2CF9AE}" pid="42" name="Document_StorageDesc">
    <vt:lpwstr/>
  </property>
  <property fmtid="{D5CDD505-2E9C-101B-9397-08002B2CF9AE}" pid="43" name="Document_Department">
    <vt:lpwstr/>
  </property>
  <property fmtid="{D5CDD505-2E9C-101B-9397-08002B2CF9AE}" pid="44" name="Document_DepartmentDesc">
    <vt:lpwstr/>
  </property>
</Properties>
</file>